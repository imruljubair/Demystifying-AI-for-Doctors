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ink/ink1.xml" ContentType="application/inkml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4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5.xml" ContentType="application/vnd.openxmlformats-officedocument.drawing+xml"/>
  <Override PartName="/xl/persons/person.xml" ContentType="application/vnd.ms-excel.person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365coloradoedu-my.sharepoint.com/personal/moju3572_colorado_edu/Documents/LAB/Research/ABH/MedicalAI/"/>
    </mc:Choice>
  </mc:AlternateContent>
  <xr:revisionPtr revIDLastSave="521" documentId="8_{C6464ECB-D632-824F-BEA6-3CED4FCC30F3}" xr6:coauthVersionLast="47" xr6:coauthVersionMax="47" xr10:uidLastSave="{FADF94A6-C1CF-0543-8C38-778DCEE792FC}"/>
  <bookViews>
    <workbookView xWindow="0" yWindow="740" windowWidth="29400" windowHeight="16980" activeTab="5" xr2:uid="{CD326B6D-705B-8E47-817B-D09CA9F612B7}"/>
  </bookViews>
  <sheets>
    <sheet name="Intro" sheetId="21" r:id="rId1"/>
    <sheet name="Dataset-Tumor" sheetId="15" r:id="rId2"/>
    <sheet name="Perceptron" sheetId="25" r:id="rId3"/>
    <sheet name="Mulitlayer" sheetId="26" r:id="rId4"/>
    <sheet name="Backprop_single_image" sheetId="17" r:id="rId5"/>
    <sheet name="Backprop_more_image" sheetId="13" r:id="rId6"/>
    <sheet name="Extra" sheetId="16" r:id="rId7"/>
    <sheet name="Sheet1" sheetId="24" r:id="rId8"/>
  </sheets>
  <definedNames>
    <definedName name="_xlnm._FilterDatabase" localSheetId="5" hidden="1">Backprop_more_image!$D$8:$Z$32</definedName>
    <definedName name="CE_epoch1">Backprop_more_image!$AQ$27</definedName>
    <definedName name="CE_epoch2">Backprop_more_image!$AQ$55</definedName>
    <definedName name="CE_epoch3">Backprop_more_image!$AQ$83</definedName>
    <definedName name="CE_epoch4">Backprop_more_image!$AQ$113</definedName>
    <definedName name="Classes">'Dataset-Tumor'!$CG$6:$CG$9</definedName>
    <definedName name="Samples">'Dataset-Tumor'!$CH$6:$CH$9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0" i="26" l="1" a="1"/>
  <c r="E10" i="26" s="1"/>
  <c r="G5" i="26" a="1"/>
  <c r="AE7" i="26" s="1" a="1"/>
  <c r="G5" i="25" a="1"/>
  <c r="G5" i="25" s="1"/>
  <c r="E10" i="25" a="1"/>
  <c r="AX9" i="25"/>
  <c r="AU9" i="25" a="1"/>
  <c r="AU9" i="25" s="1"/>
  <c r="AE7" i="26" l="1"/>
  <c r="AI7" i="26" s="1" a="1"/>
  <c r="G5" i="26"/>
  <c r="AU37" i="26" a="1"/>
  <c r="AH6" i="25" a="1"/>
  <c r="AH6" i="25" s="1"/>
  <c r="AM6" i="25" s="1" a="1"/>
  <c r="E10" i="25"/>
  <c r="AX24" i="25" s="1" a="1"/>
  <c r="AI7" i="26" l="1"/>
  <c r="AM7" i="26" s="1" a="1"/>
  <c r="AM7" i="26" s="1"/>
  <c r="AU37" i="26"/>
  <c r="AX24" i="25"/>
  <c r="AM6" i="25"/>
  <c r="AN12" i="25" s="1" a="1"/>
  <c r="AB19" i="26" l="1" a="1"/>
  <c r="AU6" i="26" a="1"/>
  <c r="AU6" i="26" s="1"/>
  <c r="AN12" i="25"/>
  <c r="AN24" i="25" s="1" a="1"/>
  <c r="BF9" i="25" l="1" a="1"/>
  <c r="BF9" i="25" s="1"/>
  <c r="AB19" i="26"/>
  <c r="AM19" i="26" s="1" a="1"/>
  <c r="AS9" i="25" a="1"/>
  <c r="AS9" i="25" s="1"/>
  <c r="AN24" i="25"/>
  <c r="AR24" i="25" s="1" a="1"/>
  <c r="AX14" i="25"/>
  <c r="AM19" i="26" l="1"/>
  <c r="AO19" i="26" s="1" a="1"/>
  <c r="AO19" i="26" s="1"/>
  <c r="AR24" i="25"/>
  <c r="AR30" i="25" s="1"/>
  <c r="AT24" i="25" s="1" a="1"/>
  <c r="BK12" i="25" a="1"/>
  <c r="BK12" i="25" s="1"/>
  <c r="AX7" i="26" l="1" a="1"/>
  <c r="AX7" i="26" s="1"/>
  <c r="AF29" i="26" a="1"/>
  <c r="AZ14" i="25"/>
  <c r="AT24" i="25"/>
  <c r="BM12" i="25" s="1" a="1"/>
  <c r="BM12" i="25" s="1"/>
  <c r="AF29" i="26" l="1"/>
  <c r="AO29" i="26" s="1" a="1"/>
  <c r="AZ24" i="25" a="1"/>
  <c r="AO29" i="26" l="1"/>
  <c r="AQ29" i="26" s="1" a="1"/>
  <c r="AQ29" i="26" s="1"/>
  <c r="AZ24" i="25"/>
  <c r="AZ30" i="25" s="1"/>
  <c r="AJ37" i="26" l="1" a="1"/>
  <c r="BA8" i="26" a="1"/>
  <c r="BA8" i="26" s="1"/>
  <c r="AJ37" i="26" l="1"/>
  <c r="AQ37" i="26" s="1" a="1"/>
  <c r="G90" i="13" a="1"/>
  <c r="G90" i="13" s="1"/>
  <c r="K90" i="13" s="1" a="1"/>
  <c r="K90" i="13" s="1"/>
  <c r="O90" i="13" s="1" a="1"/>
  <c r="O90" i="13" s="1"/>
  <c r="S90" i="13" s="1" a="1"/>
  <c r="S90" i="13" s="1"/>
  <c r="W90" i="13" s="1" a="1"/>
  <c r="W90" i="13" s="1"/>
  <c r="AA90" i="13" s="1" a="1"/>
  <c r="AA90" i="13" s="1"/>
  <c r="AE90" i="13" s="1" a="1"/>
  <c r="AE90" i="13" s="1"/>
  <c r="AI90" i="13" s="1" a="1"/>
  <c r="AI90" i="13" s="1"/>
  <c r="AM90" i="13" s="1" a="1"/>
  <c r="AM90" i="13" s="1"/>
  <c r="AQ90" i="13" s="1" a="1"/>
  <c r="AQ90" i="13" s="1"/>
  <c r="AU90" i="13" s="1" a="1"/>
  <c r="AU90" i="13" s="1"/>
  <c r="AY90" i="13" s="1" a="1"/>
  <c r="AY90" i="13" s="1"/>
  <c r="G62" i="13" a="1"/>
  <c r="G62" i="13" s="1"/>
  <c r="K62" i="13" s="1" a="1"/>
  <c r="K62" i="13" s="1"/>
  <c r="O62" i="13" s="1" a="1"/>
  <c r="O62" i="13" s="1"/>
  <c r="S62" i="13" s="1" a="1"/>
  <c r="S62" i="13" s="1"/>
  <c r="W62" i="13" s="1" a="1"/>
  <c r="W62" i="13" s="1"/>
  <c r="AA62" i="13" s="1" a="1"/>
  <c r="AA62" i="13" s="1"/>
  <c r="AE62" i="13" s="1" a="1"/>
  <c r="AE62" i="13" s="1"/>
  <c r="AI62" i="13" s="1" a="1"/>
  <c r="AI62" i="13" s="1"/>
  <c r="AM62" i="13" s="1" a="1"/>
  <c r="AM62" i="13" s="1"/>
  <c r="AQ62" i="13" s="1" a="1"/>
  <c r="AQ62" i="13" s="1"/>
  <c r="AU62" i="13" s="1" a="1"/>
  <c r="AU62" i="13" s="1"/>
  <c r="AY62" i="13" s="1" a="1"/>
  <c r="AY62" i="13" s="1"/>
  <c r="G34" i="13" a="1"/>
  <c r="G34" i="13" s="1"/>
  <c r="K34" i="13" s="1" a="1"/>
  <c r="K34" i="13" s="1"/>
  <c r="O34" i="13" s="1" a="1"/>
  <c r="O34" i="13" s="1"/>
  <c r="S34" i="13" s="1" a="1"/>
  <c r="S34" i="13" s="1"/>
  <c r="W34" i="13" s="1" a="1"/>
  <c r="W34" i="13" s="1"/>
  <c r="AA34" i="13" s="1" a="1"/>
  <c r="AA34" i="13" s="1"/>
  <c r="AE34" i="13" s="1" a="1"/>
  <c r="AE34" i="13" s="1"/>
  <c r="AI34" i="13" s="1" a="1"/>
  <c r="AI34" i="13" s="1"/>
  <c r="AM34" i="13" s="1" a="1"/>
  <c r="AM34" i="13" s="1"/>
  <c r="AQ34" i="13" s="1" a="1"/>
  <c r="AQ34" i="13" s="1"/>
  <c r="AU34" i="13" s="1" a="1"/>
  <c r="AU34" i="13" s="1"/>
  <c r="AY34" i="13" s="1" a="1"/>
  <c r="AY34" i="13" s="1"/>
  <c r="G6" i="13" a="1"/>
  <c r="G6" i="13" s="1"/>
  <c r="K6" i="13" s="1" a="1"/>
  <c r="K6" i="13" s="1"/>
  <c r="O6" i="13" s="1" a="1"/>
  <c r="O6" i="13" s="1"/>
  <c r="S6" i="13" s="1" a="1"/>
  <c r="S6" i="13" s="1"/>
  <c r="W6" i="13" s="1" a="1"/>
  <c r="W6" i="13" s="1"/>
  <c r="AA6" i="13" s="1" a="1"/>
  <c r="AA6" i="13" s="1"/>
  <c r="AE6" i="13" s="1" a="1"/>
  <c r="AE6" i="13" s="1"/>
  <c r="AI6" i="13" s="1" a="1"/>
  <c r="AI6" i="13" s="1"/>
  <c r="AM6" i="13" s="1" a="1"/>
  <c r="AM6" i="13" s="1"/>
  <c r="AQ6" i="13" s="1" a="1"/>
  <c r="AQ6" i="13" s="1"/>
  <c r="AU6" i="13" s="1" a="1"/>
  <c r="AU6" i="13" s="1"/>
  <c r="AY6" i="13" s="1" a="1"/>
  <c r="AY6" i="13" s="1"/>
  <c r="E10" i="17" a="1"/>
  <c r="E10" i="17" s="1"/>
  <c r="AP17" i="17" s="1" a="1"/>
  <c r="AP17" i="17" s="1"/>
  <c r="G5" i="17" a="1"/>
  <c r="AE5" i="17" s="1" a="1"/>
  <c r="AE5" i="17" s="1"/>
  <c r="E127" i="13" a="1"/>
  <c r="E127" i="13" s="1"/>
  <c r="AP142" i="13" s="1" a="1"/>
  <c r="AP142" i="13" s="1"/>
  <c r="E98" i="13" a="1"/>
  <c r="E98" i="13" s="1"/>
  <c r="AP113" i="13" s="1" a="1"/>
  <c r="AP113" i="13" s="1"/>
  <c r="E70" i="13" a="1"/>
  <c r="E70" i="13" s="1"/>
  <c r="AP83" i="13" s="1" a="1"/>
  <c r="AP83" i="13" s="1"/>
  <c r="E42" i="13" a="1"/>
  <c r="E42" i="13" s="1"/>
  <c r="AP55" i="13" s="1" a="1"/>
  <c r="AP55" i="13" s="1"/>
  <c r="E14" i="13" a="1"/>
  <c r="E14" i="13" s="1"/>
  <c r="AP27" i="13" s="1" a="1"/>
  <c r="AP27" i="13" s="1"/>
  <c r="G122" i="13" a="1"/>
  <c r="G122" i="13" s="1"/>
  <c r="G93" i="13" a="1"/>
  <c r="G93" i="13" s="1"/>
  <c r="G65" i="13" a="1"/>
  <c r="G65" i="13" s="1"/>
  <c r="G37" i="13" a="1"/>
  <c r="G37" i="13" s="1"/>
  <c r="G9" i="13" a="1"/>
  <c r="G9" i="13" s="1"/>
  <c r="AQ37" i="26" l="1"/>
  <c r="AS37" i="26" s="1" a="1"/>
  <c r="AI5" i="17" a="1"/>
  <c r="AI5" i="17" s="1"/>
  <c r="AM5" i="17" s="1" a="1"/>
  <c r="AM5" i="17" s="1"/>
  <c r="AB17" i="17" s="1" a="1"/>
  <c r="AB17" i="17" s="1"/>
  <c r="AE43" i="13" a="1"/>
  <c r="AE43" i="13" s="1"/>
  <c r="AI43" i="13" s="1" a="1"/>
  <c r="AI43" i="13" s="1"/>
  <c r="AM43" i="13" s="1" a="1"/>
  <c r="AM43" i="13" s="1"/>
  <c r="AU52" i="13" s="1" a="1"/>
  <c r="AU52" i="13" s="1"/>
  <c r="AP31" i="17" a="1"/>
  <c r="AP31" i="17" s="1"/>
  <c r="AP24" i="17" a="1"/>
  <c r="AP24" i="17" s="1"/>
  <c r="G5" i="17"/>
  <c r="AE15" i="13" a="1"/>
  <c r="AE15" i="13" s="1"/>
  <c r="AI15" i="13" s="1" a="1"/>
  <c r="AI15" i="13" s="1"/>
  <c r="AM15" i="13" s="1" a="1"/>
  <c r="AM15" i="13" s="1"/>
  <c r="AB27" i="13" s="1" a="1"/>
  <c r="AB27" i="13" s="1"/>
  <c r="AE130" i="13" a="1"/>
  <c r="AE130" i="13" s="1"/>
  <c r="AI130" i="13" s="1" a="1"/>
  <c r="AI130" i="13" s="1"/>
  <c r="AM130" i="13" s="1" a="1"/>
  <c r="AM130" i="13" s="1"/>
  <c r="AE71" i="13" a="1"/>
  <c r="AE71" i="13" s="1"/>
  <c r="AI71" i="13" s="1" a="1"/>
  <c r="AI71" i="13" s="1"/>
  <c r="AM71" i="13" s="1" a="1"/>
  <c r="AM71" i="13" s="1"/>
  <c r="AU80" i="13" s="1" a="1"/>
  <c r="AU80" i="13" s="1"/>
  <c r="AE101" i="13" a="1"/>
  <c r="AE101" i="13" s="1"/>
  <c r="AI101" i="13" s="1" a="1"/>
  <c r="AI101" i="13" s="1"/>
  <c r="AS37" i="26" l="1"/>
  <c r="BD9" i="26" s="1" a="1"/>
  <c r="BD9" i="26" s="1"/>
  <c r="AM17" i="17" a="1"/>
  <c r="AM17" i="17" s="1"/>
  <c r="AO17" i="17" s="1" a="1"/>
  <c r="AO17" i="17" s="1"/>
  <c r="AU14" i="17" a="1"/>
  <c r="AU14" i="17" s="1"/>
  <c r="AM101" i="13" a="1"/>
  <c r="AM101" i="13" s="1"/>
  <c r="AU110" i="13" s="1" a="1"/>
  <c r="AU110" i="13" s="1"/>
  <c r="AU24" i="13" a="1"/>
  <c r="AU24" i="13" s="1"/>
  <c r="AW37" i="26" l="1" a="1"/>
  <c r="AW37" i="26" s="1"/>
  <c r="AS17" i="17" a="1"/>
  <c r="AS17" i="17" s="1"/>
  <c r="AU17" i="17" s="1" a="1"/>
  <c r="AU17" i="17" s="1"/>
  <c r="AB24" i="17" s="1" a="1"/>
  <c r="AB24" i="17" s="1"/>
  <c r="AM24" i="17" s="1" a="1"/>
  <c r="AM24" i="17" s="1"/>
  <c r="AO24" i="17" s="1" a="1"/>
  <c r="AO24" i="17" s="1"/>
  <c r="AQ17" i="17" a="1"/>
  <c r="AQ17" i="17" s="1"/>
  <c r="AQ44" i="17" s="1"/>
  <c r="AM27" i="13" a="1"/>
  <c r="AM27" i="13" s="1"/>
  <c r="AO27" i="13" s="1" a="1"/>
  <c r="AO27" i="13" s="1"/>
  <c r="AS24" i="17" l="1" a="1"/>
  <c r="AS24" i="17" s="1"/>
  <c r="AU24" i="17" s="1" a="1"/>
  <c r="AU24" i="17" s="1"/>
  <c r="AB31" i="17" s="1" a="1"/>
  <c r="AB31" i="17" s="1"/>
  <c r="AQ27" i="13" a="1"/>
  <c r="AQ27" i="13" s="1"/>
  <c r="AW131" i="13" s="1"/>
  <c r="AH123" i="13" l="1"/>
  <c r="AM31" i="17" a="1"/>
  <c r="AM31" i="17" s="1"/>
  <c r="AO31" i="17" s="1" a="1"/>
  <c r="AQ24" i="17" a="1"/>
  <c r="AQ24" i="17" s="1"/>
  <c r="AQ45" i="17" s="1"/>
  <c r="AS27" i="13" a="1"/>
  <c r="AS27" i="13" s="1"/>
  <c r="AU27" i="13" s="1" a="1"/>
  <c r="AU27" i="13" s="1"/>
  <c r="AO31" i="17" l="1"/>
  <c r="AS31" i="17" s="1" a="1"/>
  <c r="AS31" i="17" s="1"/>
  <c r="AQ31" i="17" a="1"/>
  <c r="AQ31" i="17" s="1"/>
  <c r="AQ46" i="17" s="1"/>
  <c r="AB55" i="13" a="1"/>
  <c r="AB55" i="13" s="1"/>
  <c r="AU31" i="17" l="1" a="1"/>
  <c r="AU31" i="17" s="1"/>
  <c r="AM55" i="13" a="1"/>
  <c r="AM55" i="13" s="1"/>
  <c r="AO55" i="13" l="1" a="1"/>
  <c r="AO55" i="13" s="1"/>
  <c r="AQ55" i="13" l="1" a="1"/>
  <c r="AQ55" i="13" s="1"/>
  <c r="AS55" i="13" a="1"/>
  <c r="AS55" i="13" s="1"/>
  <c r="AU55" i="13" s="1" a="1"/>
  <c r="AU55" i="13" s="1"/>
  <c r="AB83" i="13" s="1" a="1"/>
  <c r="AB83" i="13" s="1"/>
  <c r="AM83" i="13" s="1" a="1"/>
  <c r="AM83" i="13" s="1"/>
  <c r="AO83" i="13" s="1" a="1"/>
  <c r="AO83" i="13" s="1"/>
  <c r="AH124" i="13" l="1"/>
  <c r="AW132" i="13"/>
  <c r="AQ83" i="13" a="1"/>
  <c r="AQ83" i="13" s="1"/>
  <c r="AS83" i="13" a="1"/>
  <c r="AS83" i="13" s="1"/>
  <c r="AU83" i="13" s="1" a="1"/>
  <c r="AU83" i="13" s="1"/>
  <c r="AB113" i="13" s="1" a="1"/>
  <c r="AB113" i="13" s="1"/>
  <c r="AB142" i="13" s="1" a="1"/>
  <c r="AB142" i="13" s="1"/>
  <c r="AM142" i="13" s="1" a="1"/>
  <c r="AM142" i="13" s="1"/>
  <c r="AO142" i="13" s="1" a="1"/>
  <c r="AO142" i="13" s="1"/>
  <c r="AH125" i="13" l="1"/>
  <c r="AW133" i="13"/>
  <c r="AM113" i="13" a="1"/>
  <c r="AM113" i="13" s="1"/>
  <c r="AO113" i="13" l="1" a="1"/>
  <c r="AO113" i="13" s="1"/>
  <c r="AQ113" i="13" l="1" a="1"/>
  <c r="AQ113" i="13" s="1"/>
  <c r="AW134" i="13" s="1"/>
  <c r="AS113" i="13" a="1"/>
  <c r="AS113" i="13" s="1"/>
  <c r="AU113" i="13" s="1" a="1"/>
  <c r="AU113" i="13" s="1"/>
  <c r="AQ142" i="13" s="1" a="1"/>
  <c r="AQ142" i="13" s="1"/>
  <c r="AH126" i="13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<sst xmlns="http://schemas.openxmlformats.org/spreadsheetml/2006/main" count="428" uniqueCount="128">
  <si>
    <t>W</t>
  </si>
  <si>
    <t>b</t>
  </si>
  <si>
    <t>Linear</t>
  </si>
  <si>
    <t>Truth</t>
  </si>
  <si>
    <t>X</t>
  </si>
  <si>
    <t>Loss</t>
  </si>
  <si>
    <t>X: Flatten</t>
  </si>
  <si>
    <t xml:space="preserve">X: Normalized </t>
  </si>
  <si>
    <t>Meningioma</t>
  </si>
  <si>
    <t>No tumor</t>
  </si>
  <si>
    <t>Pituitary</t>
  </si>
  <si>
    <t>W=W+ΔW</t>
  </si>
  <si>
    <t>b=b+Δb</t>
  </si>
  <si>
    <t>Xᵀ</t>
  </si>
  <si>
    <t>C</t>
  </si>
  <si>
    <t>I</t>
  </si>
  <si>
    <t>OHE</t>
  </si>
  <si>
    <t>Sample</t>
  </si>
  <si>
    <t>y</t>
  </si>
  <si>
    <t>#1</t>
  </si>
  <si>
    <t>Glioma</t>
  </si>
  <si>
    <t>Sample #</t>
  </si>
  <si>
    <t>T</t>
  </si>
  <si>
    <t>L</t>
  </si>
  <si>
    <t>W.X+b</t>
  </si>
  <si>
    <t>Class #</t>
  </si>
  <si>
    <t>CE</t>
  </si>
  <si>
    <t>D</t>
  </si>
  <si>
    <t>E</t>
  </si>
  <si>
    <t>M</t>
  </si>
  <si>
    <t>Y</t>
  </si>
  <si>
    <t>S</t>
  </si>
  <si>
    <t>F</t>
  </si>
  <si>
    <t>N</t>
  </si>
  <si>
    <t>G</t>
  </si>
  <si>
    <t>K</t>
  </si>
  <si>
    <t>A</t>
  </si>
  <si>
    <t>B</t>
  </si>
  <si>
    <t>O</t>
  </si>
  <si>
    <t>Epoch 1:</t>
  </si>
  <si>
    <t>Class 1</t>
  </si>
  <si>
    <t>Class 2</t>
  </si>
  <si>
    <t>Class 3</t>
  </si>
  <si>
    <t>Class 4</t>
  </si>
  <si>
    <t>#2</t>
  </si>
  <si>
    <t>#3</t>
  </si>
  <si>
    <t>#4</t>
  </si>
  <si>
    <t>Class ID</t>
  </si>
  <si>
    <t>SID</t>
  </si>
  <si>
    <t>Epoch 2:</t>
  </si>
  <si>
    <t>Epoch 3:</t>
  </si>
  <si>
    <t>P</t>
  </si>
  <si>
    <t>R</t>
  </si>
  <si>
    <t>U</t>
  </si>
  <si>
    <t xml:space="preserve">top </t>
  </si>
  <si>
    <t xml:space="preserve">left </t>
  </si>
  <si>
    <t>a</t>
  </si>
  <si>
    <t>e</t>
  </si>
  <si>
    <t>r</t>
  </si>
  <si>
    <t>https://www.kaggle.com/datasets/masoudnickparvar/brain-tumor-mri-dataset/data</t>
  </si>
  <si>
    <t>Crop index</t>
  </si>
  <si>
    <t>𝑒</t>
  </si>
  <si>
    <t>∑𝑒</t>
  </si>
  <si>
    <t>y=𝑒/∑𝑒</t>
  </si>
  <si>
    <t>Output</t>
  </si>
  <si>
    <t>Input</t>
  </si>
  <si>
    <t>𝜎</t>
  </si>
  <si>
    <t>∑</t>
  </si>
  <si>
    <t>o</t>
  </si>
  <si>
    <t>h</t>
  </si>
  <si>
    <t>Epoch</t>
  </si>
  <si>
    <t>TRAINING</t>
  </si>
  <si>
    <t>TESTING</t>
  </si>
  <si>
    <t>J</t>
  </si>
  <si>
    <t>H</t>
  </si>
  <si>
    <t>u</t>
  </si>
  <si>
    <t>-</t>
  </si>
  <si>
    <t>m</t>
  </si>
  <si>
    <t>i</t>
  </si>
  <si>
    <t>Layer 1</t>
  </si>
  <si>
    <t>Hidden Layer 1</t>
  </si>
  <si>
    <t>Hidden Layer 2</t>
  </si>
  <si>
    <t>Layer 2</t>
  </si>
  <si>
    <t>Input Layer</t>
  </si>
  <si>
    <t>Output Layer</t>
  </si>
  <si>
    <t>Learning rate, η</t>
  </si>
  <si>
    <t>WX+b</t>
  </si>
  <si>
    <t xml:space="preserve">	Learning rate, η</t>
  </si>
  <si>
    <t>W₀ = Rand</t>
  </si>
  <si>
    <t>b₀ = Rand</t>
  </si>
  <si>
    <t>ΔW=-η𝛿Xᵀ</t>
  </si>
  <si>
    <t>Δb=-η𝛿</t>
  </si>
  <si>
    <t>ȳ</t>
  </si>
  <si>
    <t xml:space="preserve">ȳ=OHE  </t>
  </si>
  <si>
    <t>𝛿=y-ȳ</t>
  </si>
  <si>
    <t>y₂</t>
  </si>
  <si>
    <t>V</t>
  </si>
  <si>
    <t>.</t>
  </si>
  <si>
    <t>Brain  Tumor</t>
  </si>
  <si>
    <t>2D</t>
  </si>
  <si>
    <t xml:space="preserve"> Weights</t>
  </si>
  <si>
    <t>biases</t>
  </si>
  <si>
    <t>dim=9</t>
  </si>
  <si>
    <t>dim=4</t>
  </si>
  <si>
    <t>Learnable Params</t>
  </si>
  <si>
    <t>Feature Vector</t>
  </si>
  <si>
    <t>Dataset</t>
  </si>
  <si>
    <t>Multilayer Perceptron</t>
  </si>
  <si>
    <t>Backpropagation</t>
  </si>
  <si>
    <t>Contents</t>
  </si>
  <si>
    <t>Focus of term Neural Nets (in Perceptron)</t>
  </si>
  <si>
    <t>Focus on loss</t>
  </si>
  <si>
    <t>Loss graph</t>
  </si>
  <si>
    <t>Multilayer</t>
  </si>
  <si>
    <t>↓</t>
  </si>
  <si>
    <t>Activation</t>
  </si>
  <si>
    <t>…</t>
  </si>
  <si>
    <t>Single Layered</t>
  </si>
  <si>
    <t>Multi Layered</t>
  </si>
  <si>
    <t>|ȳ - y|</t>
  </si>
  <si>
    <t>Core of a Neural Net</t>
  </si>
  <si>
    <t>⇣</t>
  </si>
  <si>
    <t>⇡</t>
  </si>
  <si>
    <t>😀</t>
  </si>
  <si>
    <t>☹️</t>
  </si>
  <si>
    <t>Perceptron (core of Neural Nets)</t>
  </si>
  <si>
    <t>Epochs</t>
  </si>
  <si>
    <t>Epochss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</si>
</sst>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1" x14ac:knownFonts="1">
    <font>
      <sz val="12"/>
      <color theme="1"/>
      <name val="Aptos Narrow"/>
      <family val="2"/>
      <scheme val="minor"/>
    </font>
    <font>
      <b/>
      <sz val="8"/>
      <color theme="1"/>
      <name val="Ink Free"/>
    </font>
    <font>
      <b/>
      <sz val="8"/>
      <color theme="0"/>
      <name val="Aptos Narrow"/>
      <scheme val="minor"/>
    </font>
    <font>
      <b/>
      <sz val="8"/>
      <color theme="1"/>
      <name val="Aptos Narrow"/>
      <scheme val="minor"/>
    </font>
    <font>
      <sz val="9"/>
      <color theme="1"/>
      <name val="Aptos Narrow"/>
      <scheme val="minor"/>
    </font>
    <font>
      <sz val="8"/>
      <color theme="0"/>
      <name val="Aptos Narrow"/>
      <scheme val="minor"/>
    </font>
    <font>
      <sz val="8"/>
      <color theme="1"/>
      <name val="Aptos Narrow"/>
      <scheme val="minor"/>
    </font>
    <font>
      <u/>
      <sz val="12"/>
      <color theme="10"/>
      <name val="Aptos Narrow"/>
      <family val="2"/>
      <scheme val="minor"/>
    </font>
    <font>
      <sz val="8"/>
      <color rgb="FF000000"/>
      <name val="Aptos Narrow"/>
      <scheme val="minor"/>
    </font>
    <font>
      <sz val="8"/>
      <name val="Aptos Narrow"/>
      <scheme val="minor"/>
    </font>
    <font>
      <sz val="12"/>
      <color theme="1"/>
      <name val="Aptos Narrow"/>
      <scheme val="minor"/>
    </font>
    <font>
      <sz val="9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b/>
      <sz val="11"/>
      <color theme="1"/>
      <name val="Aptos Narrow"/>
      <scheme val="minor"/>
    </font>
    <font>
      <b/>
      <sz val="12"/>
      <color theme="1"/>
      <name val="Aptos Narrow"/>
      <scheme val="minor"/>
    </font>
    <font>
      <b/>
      <sz val="14"/>
      <color theme="1"/>
      <name val="Aptos Narrow"/>
      <scheme val="minor"/>
    </font>
    <font>
      <sz val="48"/>
      <color theme="1"/>
      <name val="Aptos Narrow"/>
      <scheme val="minor"/>
    </font>
    <font>
      <sz val="9"/>
      <color theme="1" tint="0.499984740745262"/>
      <name val="Aptos Narrow"/>
      <family val="2"/>
      <scheme val="minor"/>
    </font>
    <font>
      <sz val="8"/>
      <color theme="1" tint="0.499984740745262"/>
      <name val="Aptos Narrow"/>
      <family val="2"/>
      <scheme val="minor"/>
    </font>
    <font>
      <b/>
      <sz val="8"/>
      <color theme="1" tint="0.499984740745262"/>
      <name val="Aptos Narrow"/>
      <scheme val="minor"/>
    </font>
    <font>
      <b/>
      <sz val="14"/>
      <color theme="1" tint="0.499984740745262"/>
      <name val="Aptos Narrow"/>
      <scheme val="minor"/>
    </font>
    <font>
      <sz val="8"/>
      <color theme="1" tint="0.499984740745262"/>
      <name val="Aptos Narrow"/>
      <scheme val="minor"/>
    </font>
    <font>
      <sz val="11"/>
      <color theme="1"/>
      <name val="Aptos Narrow"/>
      <scheme val="minor"/>
    </font>
    <font>
      <sz val="14"/>
      <color theme="1"/>
      <name val="Aptos Narrow"/>
      <scheme val="minor"/>
    </font>
    <font>
      <b/>
      <sz val="11"/>
      <color theme="0"/>
      <name val="Aptos Narrow"/>
      <scheme val="minor"/>
    </font>
    <font>
      <b/>
      <sz val="14"/>
      <color theme="0"/>
      <name val="Aptos Narrow"/>
      <scheme val="minor"/>
    </font>
    <font>
      <b/>
      <sz val="12"/>
      <color theme="0"/>
      <name val="Aptos Narrow"/>
      <scheme val="minor"/>
    </font>
    <font>
      <sz val="24"/>
      <color theme="1"/>
      <name val="Aptos Narrow"/>
      <family val="2"/>
      <scheme val="minor"/>
    </font>
    <font>
      <sz val="36"/>
      <color theme="1"/>
      <name val="Aptos Narrow"/>
      <scheme val="minor"/>
    </font>
    <font>
      <u/>
      <sz val="10"/>
      <color theme="10"/>
      <name val="Aptos Narrow"/>
      <family val="2"/>
      <scheme val="minor"/>
    </font>
    <font>
      <sz val="8"/>
      <color rgb="FF808080"/>
      <name val="Aptos Narrow"/>
      <scheme val="minor"/>
    </font>
    <font>
      <sz val="8"/>
      <color theme="2" tint="-0.499984740745262"/>
      <name val="Aptos Narrow"/>
      <scheme val="minor"/>
    </font>
    <font>
      <sz val="8"/>
      <color theme="1"/>
      <name val="Ink Free"/>
    </font>
    <font>
      <sz val="8"/>
      <color theme="3" tint="0.499984740745262"/>
      <name val="Aptos Narrow"/>
      <scheme val="minor"/>
    </font>
    <font>
      <sz val="8"/>
      <name val="Aptos Narrow"/>
      <family val="2"/>
      <scheme val="minor"/>
    </font>
    <font>
      <sz val="24"/>
      <color theme="1" tint="0.499984740745262"/>
      <name val="Aptos Narrow"/>
      <family val="2"/>
      <scheme val="minor"/>
    </font>
    <font>
      <sz val="8"/>
      <color theme="1" tint="0.499984740745262"/>
      <name val="Ink Free"/>
    </font>
    <font>
      <sz val="8"/>
      <color theme="1"/>
      <name val="Aptos Display"/>
      <scheme val="major"/>
    </font>
    <font>
      <sz val="8"/>
      <color theme="1" tint="0.499984740745262"/>
      <name val="Aptos Display"/>
      <scheme val="major"/>
    </font>
    <font>
      <b/>
      <sz val="16"/>
      <color theme="1" tint="0.499984740745262"/>
      <name val="Aptos Display"/>
      <scheme val="major"/>
    </font>
    <font>
      <sz val="16"/>
      <color theme="1"/>
      <name val="Aptos Display"/>
      <scheme val="major"/>
    </font>
    <font>
      <sz val="16"/>
      <color theme="1" tint="0.499984740745262"/>
      <name val="Aptos Display"/>
      <scheme val="major"/>
    </font>
    <font>
      <b/>
      <sz val="26"/>
      <color theme="1" tint="0.499984740745262"/>
      <name val="Aptos Display"/>
      <scheme val="major"/>
    </font>
    <font>
      <sz val="26"/>
      <color theme="1"/>
      <name val="Aptos Display"/>
      <scheme val="major"/>
    </font>
    <font>
      <sz val="26"/>
      <color theme="1" tint="0.499984740745262"/>
      <name val="Aptos Display"/>
      <scheme val="major"/>
    </font>
    <font>
      <b/>
      <sz val="8"/>
      <color theme="1" tint="0.499984740745262"/>
      <name val="Ink Free"/>
    </font>
    <font>
      <b/>
      <sz val="20"/>
      <color theme="0" tint="-0.499984740745262"/>
      <name val="Aptos Narrow"/>
      <scheme val="minor"/>
    </font>
    <font>
      <sz val="16"/>
      <color theme="0" tint="-0.34998626667073579"/>
      <name val="Aptos Narrow"/>
      <scheme val="minor"/>
    </font>
    <font>
      <b/>
      <sz val="8"/>
      <color rgb="FFFF0000"/>
      <name val="Aptos Narrow"/>
      <scheme val="minor"/>
    </font>
    <font>
      <b/>
      <sz val="10"/>
      <color theme="0"/>
      <name val="Aptos Narrow"/>
      <scheme val="minor"/>
    </font>
    <font>
      <sz val="10"/>
      <color theme="1"/>
      <name val="Aptos Narrow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1" tint="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D83B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C0E6F5"/>
        <bgColor rgb="FF000000"/>
      </patternFill>
    </fill>
    <fill>
      <patternFill patternType="solid">
        <fgColor theme="4" tint="0.79998168889431442"/>
        <bgColor rgb="FF000000"/>
      </patternFill>
    </fill>
    <fill>
      <patternFill patternType="solid">
        <fgColor rgb="FF836C1F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00B050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186">
    <xf numFmtId="0" fontId="0" fillId="0" borderId="0" xfId="0"/>
    <xf numFmtId="0" fontId="4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11" fillId="0" borderId="0" xfId="0" applyFont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9" fillId="0" borderId="0" xfId="0" applyFont="1" applyAlignment="1">
      <alignment horizontal="right" vertical="center"/>
    </xf>
    <xf numFmtId="0" fontId="6" fillId="0" borderId="7" xfId="0" applyFont="1" applyBorder="1" applyAlignment="1">
      <alignment horizontal="left" vertical="center"/>
    </xf>
    <xf numFmtId="0" fontId="6" fillId="0" borderId="0" xfId="0" applyFont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6" fillId="12" borderId="0" xfId="0" applyFont="1" applyFill="1" applyAlignment="1">
      <alignment horizontal="center" vertical="center"/>
    </xf>
    <xf numFmtId="0" fontId="6" fillId="13" borderId="0" xfId="0" applyFont="1" applyFill="1" applyAlignment="1">
      <alignment horizontal="center" vertical="center"/>
    </xf>
    <xf numFmtId="0" fontId="6" fillId="11" borderId="0" xfId="0" applyFont="1" applyFill="1" applyAlignment="1">
      <alignment horizontal="center" vertical="center"/>
    </xf>
    <xf numFmtId="0" fontId="9" fillId="6" borderId="1" xfId="0" applyFont="1" applyFill="1" applyBorder="1" applyAlignment="1">
      <alignment horizontal="center" vertical="center"/>
    </xf>
    <xf numFmtId="0" fontId="9" fillId="6" borderId="0" xfId="0" applyFont="1" applyFill="1" applyAlignment="1">
      <alignment horizontal="right" vertical="center"/>
    </xf>
    <xf numFmtId="0" fontId="9" fillId="6" borderId="0" xfId="0" applyFont="1" applyFill="1" applyAlignment="1">
      <alignment horizontal="center" vertical="center"/>
    </xf>
    <xf numFmtId="0" fontId="6" fillId="6" borderId="6" xfId="0" applyFont="1" applyFill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8" fillId="0" borderId="2" xfId="0" applyFont="1" applyBorder="1" applyAlignment="1">
      <alignment horizontal="center" vertical="center"/>
    </xf>
    <xf numFmtId="0" fontId="21" fillId="0" borderId="2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1" fillId="0" borderId="0" xfId="0" applyFont="1" applyAlignment="1">
      <alignment horizontal="right" vertical="center"/>
    </xf>
    <xf numFmtId="0" fontId="17" fillId="0" borderId="0" xfId="0" applyFont="1" applyAlignment="1">
      <alignment horizontal="center" vertical="center"/>
    </xf>
    <xf numFmtId="0" fontId="17" fillId="0" borderId="9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0" fontId="17" fillId="0" borderId="11" xfId="0" applyFont="1" applyBorder="1" applyAlignment="1">
      <alignment horizontal="center" vertical="center"/>
    </xf>
    <xf numFmtId="0" fontId="17" fillId="0" borderId="3" xfId="0" applyFont="1" applyBorder="1" applyAlignment="1">
      <alignment horizontal="center" vertical="center"/>
    </xf>
    <xf numFmtId="0" fontId="17" fillId="0" borderId="4" xfId="0" applyFont="1" applyBorder="1" applyAlignment="1">
      <alignment horizontal="center" vertical="center"/>
    </xf>
    <xf numFmtId="0" fontId="17" fillId="0" borderId="5" xfId="0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24" fillId="2" borderId="0" xfId="0" applyFont="1" applyFill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26" fillId="7" borderId="0" xfId="0" applyFont="1" applyFill="1" applyAlignment="1">
      <alignment horizontal="center" vertical="center"/>
    </xf>
    <xf numFmtId="0" fontId="26" fillId="7" borderId="7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right"/>
    </xf>
    <xf numFmtId="0" fontId="10" fillId="0" borderId="0" xfId="0" applyFont="1" applyAlignment="1">
      <alignment horizontal="left"/>
    </xf>
    <xf numFmtId="0" fontId="23" fillId="0" borderId="0" xfId="0" applyFont="1" applyAlignment="1">
      <alignment horizontal="right" vertical="center"/>
    </xf>
    <xf numFmtId="0" fontId="26" fillId="0" borderId="0" xfId="0" applyFont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18" fillId="0" borderId="14" xfId="0" applyFont="1" applyBorder="1" applyAlignment="1">
      <alignment horizontal="center" vertical="center"/>
    </xf>
    <xf numFmtId="0" fontId="18" fillId="0" borderId="23" xfId="0" applyFont="1" applyBorder="1" applyAlignment="1">
      <alignment horizontal="center" vertical="center"/>
    </xf>
    <xf numFmtId="0" fontId="25" fillId="10" borderId="1" xfId="0" applyFont="1" applyFill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11" fillId="0" borderId="17" xfId="0" applyFont="1" applyBorder="1" applyAlignment="1">
      <alignment horizontal="center" vertical="center"/>
    </xf>
    <xf numFmtId="0" fontId="23" fillId="0" borderId="18" xfId="0" applyFont="1" applyBorder="1" applyAlignment="1">
      <alignment horizontal="right" vertical="center"/>
    </xf>
    <xf numFmtId="0" fontId="11" fillId="0" borderId="19" xfId="0" applyFont="1" applyBorder="1" applyAlignment="1">
      <alignment horizontal="center" vertical="center"/>
    </xf>
    <xf numFmtId="0" fontId="15" fillId="0" borderId="20" xfId="0" applyFont="1" applyBorder="1" applyAlignment="1">
      <alignment horizontal="right" vertical="center"/>
    </xf>
    <xf numFmtId="0" fontId="23" fillId="0" borderId="20" xfId="0" applyFont="1" applyBorder="1" applyAlignment="1">
      <alignment horizontal="right" vertical="center"/>
    </xf>
    <xf numFmtId="0" fontId="11" fillId="0" borderId="21" xfId="0" applyFont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0" fontId="23" fillId="0" borderId="22" xfId="0" applyFont="1" applyBorder="1" applyAlignment="1">
      <alignment horizontal="right" vertical="center"/>
    </xf>
    <xf numFmtId="0" fontId="26" fillId="0" borderId="0" xfId="0" applyFont="1" applyAlignment="1">
      <alignment horizontal="right" vertical="center"/>
    </xf>
    <xf numFmtId="0" fontId="10" fillId="0" borderId="0" xfId="0" applyFont="1" applyAlignment="1">
      <alignment horizontal="center" vertical="center"/>
    </xf>
    <xf numFmtId="0" fontId="26" fillId="14" borderId="0" xfId="0" applyFont="1" applyFill="1" applyAlignment="1">
      <alignment horizontal="center" vertical="center"/>
    </xf>
    <xf numFmtId="0" fontId="29" fillId="0" borderId="0" xfId="1" applyFont="1" applyBorder="1" applyAlignment="1">
      <alignment horizontal="left" vertical="center"/>
    </xf>
    <xf numFmtId="0" fontId="21" fillId="12" borderId="0" xfId="0" applyFont="1" applyFill="1" applyAlignment="1">
      <alignment horizontal="center" vertical="center"/>
    </xf>
    <xf numFmtId="0" fontId="21" fillId="13" borderId="0" xfId="0" applyFont="1" applyFill="1" applyAlignment="1">
      <alignment horizontal="center"/>
    </xf>
    <xf numFmtId="0" fontId="31" fillId="12" borderId="0" xfId="0" applyFont="1" applyFill="1" applyAlignment="1">
      <alignment horizontal="center" vertical="center"/>
    </xf>
    <xf numFmtId="0" fontId="21" fillId="11" borderId="0" xfId="0" applyFont="1" applyFill="1" applyAlignment="1">
      <alignment horizontal="center" vertical="center"/>
    </xf>
    <xf numFmtId="0" fontId="6" fillId="11" borderId="0" xfId="0" quotePrefix="1" applyFont="1" applyFill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6" fillId="13" borderId="1" xfId="0" applyFont="1" applyFill="1" applyBorder="1" applyAlignment="1">
      <alignment horizontal="center" vertical="center"/>
    </xf>
    <xf numFmtId="0" fontId="6" fillId="13" borderId="0" xfId="0" applyFont="1" applyFill="1" applyAlignment="1">
      <alignment horizontal="center"/>
    </xf>
    <xf numFmtId="0" fontId="6" fillId="12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6" fillId="11" borderId="1" xfId="0" applyFont="1" applyFill="1" applyBorder="1" applyAlignment="1">
      <alignment horizontal="center" vertical="center"/>
    </xf>
    <xf numFmtId="0" fontId="5" fillId="13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32" fillId="6" borderId="0" xfId="0" applyFont="1" applyFill="1" applyAlignment="1">
      <alignment horizontal="center" vertical="center"/>
    </xf>
    <xf numFmtId="0" fontId="32" fillId="0" borderId="0" xfId="0" applyFont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32" fillId="0" borderId="2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32" fillId="6" borderId="2" xfId="0" applyFont="1" applyFill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6" fillId="6" borderId="9" xfId="0" applyFont="1" applyFill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8" fillId="8" borderId="1" xfId="0" applyFont="1" applyFill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9" fillId="0" borderId="0" xfId="0" applyFont="1" applyAlignment="1">
      <alignment horizontal="right" vertical="center"/>
    </xf>
    <xf numFmtId="0" fontId="19" fillId="5" borderId="6" xfId="0" applyFont="1" applyFill="1" applyBorder="1" applyAlignment="1">
      <alignment horizontal="center" vertical="center"/>
    </xf>
    <xf numFmtId="0" fontId="19" fillId="5" borderId="6" xfId="0" applyFont="1" applyFill="1" applyBorder="1" applyAlignment="1">
      <alignment horizontal="right" vertical="center"/>
    </xf>
    <xf numFmtId="0" fontId="19" fillId="4" borderId="6" xfId="0" applyFont="1" applyFill="1" applyBorder="1" applyAlignment="1">
      <alignment horizontal="center" vertical="center"/>
    </xf>
    <xf numFmtId="0" fontId="19" fillId="4" borderId="6" xfId="0" applyFont="1" applyFill="1" applyBorder="1" applyAlignment="1">
      <alignment horizontal="right" vertical="center"/>
    </xf>
    <xf numFmtId="0" fontId="19" fillId="8" borderId="6" xfId="0" applyFont="1" applyFill="1" applyBorder="1" applyAlignment="1">
      <alignment horizontal="center" vertical="center"/>
    </xf>
    <xf numFmtId="0" fontId="19" fillId="8" borderId="6" xfId="0" applyFont="1" applyFill="1" applyBorder="1" applyAlignment="1">
      <alignment horizontal="right" vertical="center"/>
    </xf>
    <xf numFmtId="0" fontId="19" fillId="12" borderId="6" xfId="0" applyFont="1" applyFill="1" applyBorder="1" applyAlignment="1">
      <alignment horizontal="center" vertical="center"/>
    </xf>
    <xf numFmtId="0" fontId="19" fillId="12" borderId="6" xfId="0" applyFont="1" applyFill="1" applyBorder="1" applyAlignment="1">
      <alignment horizontal="right" vertical="center"/>
    </xf>
    <xf numFmtId="0" fontId="6" fillId="9" borderId="7" xfId="0" applyFont="1" applyFill="1" applyBorder="1" applyAlignment="1">
      <alignment horizontal="center" vertical="center"/>
    </xf>
    <xf numFmtId="0" fontId="3" fillId="9" borderId="7" xfId="0" applyFont="1" applyFill="1" applyBorder="1" applyAlignment="1">
      <alignment horizontal="center" vertical="center"/>
    </xf>
    <xf numFmtId="0" fontId="5" fillId="17" borderId="0" xfId="0" applyFont="1" applyFill="1" applyAlignment="1">
      <alignment horizontal="center" vertical="center"/>
    </xf>
    <xf numFmtId="0" fontId="2" fillId="17" borderId="0" xfId="0" applyFont="1" applyFill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35" fillId="0" borderId="0" xfId="0" applyFont="1" applyAlignment="1">
      <alignment horizontal="center" vertical="center"/>
    </xf>
    <xf numFmtId="0" fontId="37" fillId="0" borderId="0" xfId="0" applyFont="1" applyAlignment="1">
      <alignment horizontal="center" vertical="center"/>
    </xf>
    <xf numFmtId="0" fontId="38" fillId="0" borderId="0" xfId="0" applyFont="1" applyAlignment="1">
      <alignment horizontal="center" vertical="center"/>
    </xf>
    <xf numFmtId="0" fontId="39" fillId="0" borderId="0" xfId="0" applyFont="1" applyAlignment="1">
      <alignment horizontal="center" vertical="center"/>
    </xf>
    <xf numFmtId="0" fontId="40" fillId="0" borderId="0" xfId="0" applyFont="1" applyAlignment="1">
      <alignment horizontal="center" vertical="center"/>
    </xf>
    <xf numFmtId="0" fontId="41" fillId="0" borderId="0" xfId="0" applyFont="1" applyAlignment="1">
      <alignment horizontal="center" vertical="center"/>
    </xf>
    <xf numFmtId="0" fontId="40" fillId="0" borderId="0" xfId="0" quotePrefix="1" applyFont="1" applyAlignment="1">
      <alignment horizontal="center" vertical="center"/>
    </xf>
    <xf numFmtId="0" fontId="41" fillId="0" borderId="0" xfId="0" quotePrefix="1" applyFont="1" applyAlignment="1">
      <alignment horizontal="center" vertical="center"/>
    </xf>
    <xf numFmtId="0" fontId="42" fillId="0" borderId="0" xfId="0" applyFont="1" applyAlignment="1">
      <alignment horizontal="center" vertical="center"/>
    </xf>
    <xf numFmtId="0" fontId="43" fillId="0" borderId="0" xfId="0" applyFont="1" applyAlignment="1">
      <alignment horizontal="center" vertical="center"/>
    </xf>
    <xf numFmtId="0" fontId="44" fillId="0" borderId="0" xfId="0" applyFont="1" applyAlignment="1">
      <alignment horizontal="center" vertical="center"/>
    </xf>
    <xf numFmtId="0" fontId="36" fillId="0" borderId="0" xfId="0" applyFont="1" applyAlignment="1">
      <alignment horizontal="center" vertical="center"/>
    </xf>
    <xf numFmtId="0" fontId="32" fillId="0" borderId="11" xfId="0" applyFont="1" applyBorder="1" applyAlignment="1">
      <alignment horizontal="center" vertical="center"/>
    </xf>
    <xf numFmtId="0" fontId="32" fillId="0" borderId="7" xfId="0" applyFont="1" applyBorder="1" applyAlignment="1">
      <alignment horizontal="center" vertical="center"/>
    </xf>
    <xf numFmtId="0" fontId="24" fillId="7" borderId="7" xfId="0" applyFont="1" applyFill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6" fillId="0" borderId="7" xfId="0" applyFont="1" applyBorder="1" applyAlignment="1">
      <alignment vertical="center"/>
    </xf>
    <xf numFmtId="0" fontId="6" fillId="0" borderId="0" xfId="0" applyFont="1" applyAlignment="1">
      <alignment horizontal="left" vertical="center"/>
    </xf>
    <xf numFmtId="0" fontId="6" fillId="6" borderId="0" xfId="0" applyFont="1" applyFill="1" applyAlignment="1">
      <alignment horizontal="left" vertical="center"/>
    </xf>
    <xf numFmtId="2" fontId="36" fillId="0" borderId="0" xfId="0" applyNumberFormat="1" applyFont="1" applyAlignment="1">
      <alignment horizontal="center" vertical="center"/>
    </xf>
    <xf numFmtId="0" fontId="45" fillId="6" borderId="0" xfId="0" applyFont="1" applyFill="1" applyAlignment="1">
      <alignment horizontal="center" vertical="center"/>
    </xf>
    <xf numFmtId="0" fontId="36" fillId="6" borderId="0" xfId="0" applyFont="1" applyFill="1" applyAlignment="1">
      <alignment horizontal="center" vertical="center"/>
    </xf>
    <xf numFmtId="0" fontId="45" fillId="0" borderId="0" xfId="0" applyFont="1" applyAlignment="1">
      <alignment horizontal="center" vertical="center"/>
    </xf>
    <xf numFmtId="0" fontId="6" fillId="13" borderId="0" xfId="0" applyFont="1" applyFill="1" applyAlignment="1">
      <alignment horizontal="left" vertical="center"/>
    </xf>
    <xf numFmtId="0" fontId="6" fillId="13" borderId="1" xfId="0" applyFont="1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14" fillId="9" borderId="0" xfId="0" applyFont="1" applyFill="1" applyAlignment="1">
      <alignment horizontal="left" vertical="center"/>
    </xf>
    <xf numFmtId="0" fontId="10" fillId="9" borderId="0" xfId="0" applyFont="1" applyFill="1" applyAlignment="1">
      <alignment horizontal="center" vertical="center"/>
    </xf>
    <xf numFmtId="0" fontId="10" fillId="0" borderId="24" xfId="0" applyFont="1" applyBorder="1" applyAlignment="1">
      <alignment horizontal="left" vertical="center"/>
    </xf>
    <xf numFmtId="0" fontId="10" fillId="0" borderId="2" xfId="0" applyFont="1" applyBorder="1" applyAlignment="1">
      <alignment horizontal="left" vertical="center"/>
    </xf>
    <xf numFmtId="0" fontId="10" fillId="10" borderId="0" xfId="0" applyFont="1" applyFill="1" applyAlignment="1">
      <alignment horizontal="center" vertical="center"/>
    </xf>
    <xf numFmtId="0" fontId="22" fillId="10" borderId="0" xfId="0" applyFont="1" applyFill="1" applyAlignment="1">
      <alignment horizontal="center" vertical="center"/>
    </xf>
    <xf numFmtId="0" fontId="30" fillId="16" borderId="0" xfId="0" applyFont="1" applyFill="1" applyAlignment="1">
      <alignment horizontal="center" vertical="center"/>
    </xf>
    <xf numFmtId="0" fontId="33" fillId="6" borderId="0" xfId="0" applyFont="1" applyFill="1" applyAlignment="1">
      <alignment horizontal="right" vertical="center"/>
    </xf>
    <xf numFmtId="0" fontId="6" fillId="3" borderId="1" xfId="0" applyFont="1" applyFill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47" fillId="0" borderId="0" xfId="0" applyFont="1" applyAlignment="1">
      <alignment horizontal="left" vertical="center"/>
    </xf>
    <xf numFmtId="0" fontId="12" fillId="0" borderId="6" xfId="0" applyFont="1" applyBorder="1" applyAlignment="1">
      <alignment horizontal="center" vertical="center"/>
    </xf>
    <xf numFmtId="0" fontId="18" fillId="0" borderId="6" xfId="0" applyFont="1" applyBorder="1" applyAlignment="1">
      <alignment horizontal="center" vertical="center"/>
    </xf>
    <xf numFmtId="0" fontId="46" fillId="0" borderId="0" xfId="0" applyFont="1" applyAlignment="1">
      <alignment horizontal="left" vertical="center"/>
    </xf>
    <xf numFmtId="0" fontId="6" fillId="13" borderId="9" xfId="0" applyFont="1" applyFill="1" applyBorder="1" applyAlignment="1">
      <alignment horizontal="center"/>
    </xf>
    <xf numFmtId="0" fontId="6" fillId="13" borderId="10" xfId="0" applyFont="1" applyFill="1" applyBorder="1" applyAlignment="1">
      <alignment horizontal="center"/>
    </xf>
    <xf numFmtId="0" fontId="6" fillId="12" borderId="11" xfId="0" applyFont="1" applyFill="1" applyBorder="1" applyAlignment="1">
      <alignment horizontal="center" vertical="center"/>
    </xf>
    <xf numFmtId="0" fontId="6" fillId="12" borderId="7" xfId="0" applyFont="1" applyFill="1" applyBorder="1" applyAlignment="1">
      <alignment horizontal="center" vertical="center"/>
    </xf>
    <xf numFmtId="0" fontId="6" fillId="12" borderId="12" xfId="0" applyFont="1" applyFill="1" applyBorder="1" applyAlignment="1">
      <alignment horizontal="center" vertical="center"/>
    </xf>
    <xf numFmtId="0" fontId="48" fillId="0" borderId="0" xfId="0" applyFont="1" applyAlignment="1">
      <alignment horizontal="center" vertical="center"/>
    </xf>
    <xf numFmtId="0" fontId="26" fillId="19" borderId="0" xfId="0" applyFont="1" applyFill="1" applyAlignment="1">
      <alignment horizontal="center" vertical="center"/>
    </xf>
    <xf numFmtId="0" fontId="49" fillId="19" borderId="0" xfId="0" applyFont="1" applyFill="1" applyAlignment="1">
      <alignment horizontal="left" vertical="center"/>
    </xf>
    <xf numFmtId="0" fontId="10" fillId="19" borderId="0" xfId="0" applyFont="1" applyFill="1" applyAlignment="1">
      <alignment horizontal="center" vertical="center"/>
    </xf>
    <xf numFmtId="0" fontId="6" fillId="13" borderId="6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6" fillId="18" borderId="0" xfId="0" applyFont="1" applyFill="1" applyAlignment="1">
      <alignment horizontal="center" vertical="center"/>
    </xf>
    <xf numFmtId="0" fontId="48" fillId="12" borderId="0" xfId="0" applyFont="1" applyFill="1" applyAlignment="1">
      <alignment horizontal="center" vertical="center"/>
    </xf>
    <xf numFmtId="0" fontId="48" fillId="11" borderId="0" xfId="0" applyFont="1" applyFill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12" fillId="0" borderId="8" xfId="0" applyFont="1" applyBorder="1" applyAlignment="1">
      <alignment horizontal="center" vertical="center"/>
    </xf>
    <xf numFmtId="0" fontId="48" fillId="15" borderId="0" xfId="0" applyFont="1" applyFill="1" applyAlignment="1">
      <alignment horizontal="center" vertical="center"/>
    </xf>
    <xf numFmtId="0" fontId="50" fillId="11" borderId="0" xfId="0" applyFont="1" applyFill="1" applyAlignment="1">
      <alignment horizontal="right" vertical="center"/>
    </xf>
    <xf numFmtId="0" fontId="50" fillId="11" borderId="0" xfId="0" applyFont="1" applyFill="1" applyAlignment="1">
      <alignment horizontal="left" vertical="center"/>
    </xf>
    <xf numFmtId="0" fontId="6" fillId="0" borderId="2" xfId="0" applyFont="1" applyBorder="1" applyAlignment="1">
      <alignment horizontal="left" vertical="center"/>
    </xf>
    <xf numFmtId="0" fontId="6" fillId="0" borderId="7" xfId="0" applyFont="1" applyBorder="1" applyAlignment="1">
      <alignment horizontal="right" vertical="center"/>
    </xf>
    <xf numFmtId="0" fontId="6" fillId="0" borderId="11" xfId="0" applyFont="1" applyBorder="1" applyAlignment="1">
      <alignment horizontal="left" vertical="center"/>
    </xf>
    <xf numFmtId="0" fontId="6" fillId="8" borderId="7" xfId="0" applyFont="1" applyFill="1" applyBorder="1" applyAlignment="1">
      <alignment horizontal="right" vertical="center"/>
    </xf>
    <xf numFmtId="0" fontId="6" fillId="8" borderId="11" xfId="0" applyFont="1" applyFill="1" applyBorder="1" applyAlignment="1">
      <alignment horizontal="left" vertical="center"/>
    </xf>
    <xf numFmtId="0" fontId="6" fillId="0" borderId="0" xfId="0" applyFont="1" applyBorder="1" applyAlignment="1">
      <alignment horizontal="center" vertical="center"/>
    </xf>
    <xf numFmtId="0" fontId="6" fillId="8" borderId="13" xfId="0" applyFont="1" applyFill="1" applyBorder="1" applyAlignment="1">
      <alignment horizontal="center" vertical="center"/>
    </xf>
    <xf numFmtId="0" fontId="6" fillId="8" borderId="25" xfId="0" applyFont="1" applyFill="1" applyBorder="1" applyAlignment="1">
      <alignment horizontal="right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FFD83B"/>
      <color rgb="FF478AE9"/>
      <color rgb="FF836C1F"/>
      <color rgb="FFBD9B2B"/>
      <color rgb="FFECF5A7"/>
      <color rgb="FFF0FFDC"/>
      <color rgb="FFFFD13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microsoft.com/office/2022/11/relationships/FeaturePropertyBag" Target="featurePropertyBag/featurePropertyBag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Backprop_single_image!$AQ$43</c:f>
              <c:strCache>
                <c:ptCount val="1"/>
                <c:pt idx="0">
                  <c:v>Loss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9"/>
            <c:spPr>
              <a:solidFill>
                <a:srgbClr val="FFFF00"/>
              </a:solidFill>
              <a:ln w="9525">
                <a:solidFill>
                  <a:schemeClr val="tx1"/>
                </a:solidFill>
              </a:ln>
              <a:effectLst/>
            </c:spPr>
          </c:marker>
          <c:cat>
            <c:numRef>
              <c:f>Backprop_single_image!$AP$44:$AP$46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3</c:v>
                </c:pt>
              </c:numCache>
            </c:numRef>
          </c:cat>
          <c:val>
            <c:numRef>
              <c:f>Backprop_single_image!$AQ$44:$AQ$46</c:f>
              <c:numCache>
                <c:formatCode>General</c:formatCode>
                <c:ptCount val="3"/>
                <c:pt idx="0">
                  <c:v>2.3725886821028257</c:v>
                </c:pt>
                <c:pt idx="1">
                  <c:v>1.0565917354883356</c:v>
                </c:pt>
                <c:pt idx="2">
                  <c:v>0.46384147710598911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C57-8949-871D-A6D736AD24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51622784"/>
        <c:axId val="1651629056"/>
      </c:lineChart>
      <c:catAx>
        <c:axId val="16516227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1629056"/>
        <c:crosses val="autoZero"/>
        <c:auto val="1"/>
        <c:lblAlgn val="ctr"/>
        <c:lblOffset val="100"/>
        <c:noMultiLvlLbl val="0"/>
      </c:catAx>
      <c:valAx>
        <c:axId val="1651629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16227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Backprop_more_image!$AW$130</c:f>
              <c:strCache>
                <c:ptCount val="1"/>
                <c:pt idx="0">
                  <c:v>Loss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rgbClr val="FFFF00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Backprop_more_image!$AV$131:$AV$134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numCache>
            </c:numRef>
          </c:cat>
          <c:val>
            <c:numRef>
              <c:f>Backprop_more_image!$AW$131:$AW$134</c:f>
              <c:numCache>
                <c:formatCode>General</c:formatCode>
                <c:ptCount val="4"/>
                <c:pt idx="0">
                  <c:v>0.47339147444791946</c:v>
                </c:pt>
                <c:pt idx="1">
                  <c:v>1.0206342442174938</c:v>
                </c:pt>
                <c:pt idx="2">
                  <c:v>0.6808679656145411</c:v>
                </c:pt>
                <c:pt idx="3">
                  <c:v>0.26841697001125436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755-6843-A017-65B49E08FF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78058176"/>
        <c:axId val="1502458112"/>
      </c:lineChart>
      <c:catAx>
        <c:axId val="18780581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2458112"/>
        <c:crosses val="autoZero"/>
        <c:auto val="1"/>
        <c:lblAlgn val="ctr"/>
        <c:lblOffset val="100"/>
        <c:noMultiLvlLbl val="0"/>
      </c:catAx>
      <c:valAx>
        <c:axId val="1502458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80581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ustomXml" Target="../ink/ink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6" Type="http://schemas.openxmlformats.org/officeDocument/2006/relationships/image" Target="../media/image7.png"/><Relationship Id="rId5" Type="http://schemas.openxmlformats.org/officeDocument/2006/relationships/image" Target="../media/image6.png"/><Relationship Id="rId4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44</xdr:col>
      <xdr:colOff>7201</xdr:colOff>
      <xdr:row>8</xdr:row>
      <xdr:rowOff>23362</xdr:rowOff>
    </xdr:from>
    <xdr:to>
      <xdr:col>44</xdr:col>
      <xdr:colOff>300234</xdr:colOff>
      <xdr:row>8</xdr:row>
      <xdr:rowOff>195217</xdr:rowOff>
    </xdr:to>
    <xdr:sp macro="" textlink="">
      <xdr:nvSpPr>
        <xdr:cNvPr id="2" name="Oval 1">
          <a:extLst>
            <a:ext uri="{FF2B5EF4-FFF2-40B4-BE49-F238E27FC236}">
              <a16:creationId xmlns:a16="http://schemas.microsoft.com/office/drawing/2014/main" id="{08EFCB79-30D7-A34B-8AF4-4C0AECC86927}"/>
            </a:ext>
          </a:extLst>
        </xdr:cNvPr>
        <xdr:cNvSpPr/>
      </xdr:nvSpPr>
      <xdr:spPr>
        <a:xfrm>
          <a:off x="13977201" y="1750562"/>
          <a:ext cx="293033" cy="171855"/>
        </a:xfrm>
        <a:custGeom>
          <a:avLst/>
          <a:gdLst>
            <a:gd name="csX0" fmla="*/ 0 w 293033"/>
            <a:gd name="csY0" fmla="*/ 85928 h 171855"/>
            <a:gd name="csX1" fmla="*/ 146517 w 293033"/>
            <a:gd name="csY1" fmla="*/ 0 h 171855"/>
            <a:gd name="csX2" fmla="*/ 293034 w 293033"/>
            <a:gd name="csY2" fmla="*/ 85928 h 171855"/>
            <a:gd name="csX3" fmla="*/ 146517 w 293033"/>
            <a:gd name="csY3" fmla="*/ 171856 h 171855"/>
            <a:gd name="csX4" fmla="*/ 0 w 293033"/>
            <a:gd name="csY4" fmla="*/ 85928 h 171855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</a:cxnLst>
          <a:rect l="l" t="t" r="r" b="b"/>
          <a:pathLst>
            <a:path w="293033" h="171855" fill="none" extrusionOk="0">
              <a:moveTo>
                <a:pt x="0" y="85928"/>
              </a:moveTo>
              <a:cubicBezTo>
                <a:pt x="7146" y="39319"/>
                <a:pt x="69216" y="-7447"/>
                <a:pt x="146517" y="0"/>
              </a:cubicBezTo>
              <a:cubicBezTo>
                <a:pt x="224394" y="-466"/>
                <a:pt x="288540" y="42702"/>
                <a:pt x="293034" y="85928"/>
              </a:cubicBezTo>
              <a:cubicBezTo>
                <a:pt x="291484" y="118600"/>
                <a:pt x="219196" y="183308"/>
                <a:pt x="146517" y="171856"/>
              </a:cubicBezTo>
              <a:cubicBezTo>
                <a:pt x="71383" y="175095"/>
                <a:pt x="12702" y="136439"/>
                <a:pt x="0" y="85928"/>
              </a:cubicBezTo>
              <a:close/>
            </a:path>
            <a:path w="293033" h="171855" stroke="0" extrusionOk="0">
              <a:moveTo>
                <a:pt x="0" y="85928"/>
              </a:moveTo>
              <a:cubicBezTo>
                <a:pt x="-3893" y="36070"/>
                <a:pt x="47289" y="6872"/>
                <a:pt x="146517" y="0"/>
              </a:cubicBezTo>
              <a:cubicBezTo>
                <a:pt x="237391" y="2096"/>
                <a:pt x="280100" y="38882"/>
                <a:pt x="293034" y="85928"/>
              </a:cubicBezTo>
              <a:cubicBezTo>
                <a:pt x="283820" y="142383"/>
                <a:pt x="223784" y="192042"/>
                <a:pt x="146517" y="171856"/>
              </a:cubicBezTo>
              <a:cubicBezTo>
                <a:pt x="58485" y="167965"/>
                <a:pt x="5797" y="136155"/>
                <a:pt x="0" y="85928"/>
              </a:cubicBezTo>
              <a:close/>
            </a:path>
          </a:pathLst>
        </a:custGeom>
        <a:solidFill>
          <a:schemeClr val="bg2">
            <a:lumMod val="90000"/>
            <a:alpha val="46000"/>
          </a:schemeClr>
        </a:solidFill>
        <a:ln w="9525">
          <a:solidFill>
            <a:schemeClr val="tx1">
              <a:lumMod val="65000"/>
              <a:lumOff val="35000"/>
            </a:schemeClr>
          </a:solidFill>
          <a:extLst>
            <a:ext uri="{C807C97D-BFC1-408E-A445-0C87EB9F89A2}">
              <ask:lineSketchStyleProps xmlns:ask="http://schemas.microsoft.com/office/drawing/2018/sketchyshapes" sd="1219033472">
                <a:prstGeom prst="ellipse">
                  <a:avLst/>
                </a:prstGeom>
                <ask:type>
                  <ask:lineSketchScribble/>
                </ask:type>
              </ask:lineSketchStyleProps>
            </a:ext>
          </a:extLst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44</xdr:col>
      <xdr:colOff>22000</xdr:colOff>
      <xdr:row>9</xdr:row>
      <xdr:rowOff>17116</xdr:rowOff>
    </xdr:from>
    <xdr:to>
      <xdr:col>44</xdr:col>
      <xdr:colOff>313983</xdr:colOff>
      <xdr:row>9</xdr:row>
      <xdr:rowOff>188680</xdr:rowOff>
    </xdr:to>
    <xdr:sp macro="" textlink="">
      <xdr:nvSpPr>
        <xdr:cNvPr id="3" name="Oval 2">
          <a:extLst>
            <a:ext uri="{FF2B5EF4-FFF2-40B4-BE49-F238E27FC236}">
              <a16:creationId xmlns:a16="http://schemas.microsoft.com/office/drawing/2014/main" id="{79BB79D6-702F-DD44-B120-F5565EFD467F}"/>
            </a:ext>
          </a:extLst>
        </xdr:cNvPr>
        <xdr:cNvSpPr/>
      </xdr:nvSpPr>
      <xdr:spPr>
        <a:xfrm>
          <a:off x="13992000" y="1960216"/>
          <a:ext cx="291983" cy="171564"/>
        </a:xfrm>
        <a:custGeom>
          <a:avLst/>
          <a:gdLst>
            <a:gd name="csX0" fmla="*/ 0 w 291983"/>
            <a:gd name="csY0" fmla="*/ 85782 h 171564"/>
            <a:gd name="csX1" fmla="*/ 145992 w 291983"/>
            <a:gd name="csY1" fmla="*/ 0 h 171564"/>
            <a:gd name="csX2" fmla="*/ 291984 w 291983"/>
            <a:gd name="csY2" fmla="*/ 85782 h 171564"/>
            <a:gd name="csX3" fmla="*/ 145992 w 291983"/>
            <a:gd name="csY3" fmla="*/ 171564 h 171564"/>
            <a:gd name="csX4" fmla="*/ 0 w 291983"/>
            <a:gd name="csY4" fmla="*/ 85782 h 171564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</a:cxnLst>
          <a:rect l="l" t="t" r="r" b="b"/>
          <a:pathLst>
            <a:path w="291983" h="171564" fill="none" extrusionOk="0">
              <a:moveTo>
                <a:pt x="0" y="85782"/>
              </a:moveTo>
              <a:cubicBezTo>
                <a:pt x="9161" y="39493"/>
                <a:pt x="67477" y="-4350"/>
                <a:pt x="145992" y="0"/>
              </a:cubicBezTo>
              <a:cubicBezTo>
                <a:pt x="224464" y="-330"/>
                <a:pt x="281918" y="47883"/>
                <a:pt x="291984" y="85782"/>
              </a:cubicBezTo>
              <a:cubicBezTo>
                <a:pt x="290295" y="117048"/>
                <a:pt x="217001" y="184933"/>
                <a:pt x="145992" y="171564"/>
              </a:cubicBezTo>
              <a:cubicBezTo>
                <a:pt x="74586" y="176727"/>
                <a:pt x="8013" y="135085"/>
                <a:pt x="0" y="85782"/>
              </a:cubicBezTo>
              <a:close/>
            </a:path>
            <a:path w="291983" h="171564" stroke="0" extrusionOk="0">
              <a:moveTo>
                <a:pt x="0" y="85782"/>
              </a:moveTo>
              <a:cubicBezTo>
                <a:pt x="-11348" y="31406"/>
                <a:pt x="55722" y="3619"/>
                <a:pt x="145992" y="0"/>
              </a:cubicBezTo>
              <a:cubicBezTo>
                <a:pt x="227776" y="243"/>
                <a:pt x="288788" y="38508"/>
                <a:pt x="291984" y="85782"/>
              </a:cubicBezTo>
              <a:cubicBezTo>
                <a:pt x="283418" y="141523"/>
                <a:pt x="226155" y="174141"/>
                <a:pt x="145992" y="171564"/>
              </a:cubicBezTo>
              <a:cubicBezTo>
                <a:pt x="54070" y="165385"/>
                <a:pt x="2127" y="134174"/>
                <a:pt x="0" y="85782"/>
              </a:cubicBezTo>
              <a:close/>
            </a:path>
          </a:pathLst>
        </a:custGeom>
        <a:solidFill>
          <a:schemeClr val="bg2">
            <a:lumMod val="90000"/>
            <a:alpha val="46000"/>
          </a:schemeClr>
        </a:solidFill>
        <a:ln w="9525">
          <a:solidFill>
            <a:schemeClr val="tx1">
              <a:lumMod val="65000"/>
              <a:lumOff val="35000"/>
            </a:schemeClr>
          </a:solidFill>
          <a:extLst>
            <a:ext uri="{C807C97D-BFC1-408E-A445-0C87EB9F89A2}">
              <ask:lineSketchStyleProps xmlns:ask="http://schemas.microsoft.com/office/drawing/2018/sketchyshapes" sd="1219033472">
                <a:prstGeom prst="ellipse">
                  <a:avLst/>
                </a:prstGeom>
                <ask:type>
                  <ask:lineSketchScribble/>
                </ask:type>
              </ask:lineSketchStyleProps>
            </a:ext>
          </a:extLst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43</xdr:col>
      <xdr:colOff>313070</xdr:colOff>
      <xdr:row>10</xdr:row>
      <xdr:rowOff>11472</xdr:rowOff>
    </xdr:from>
    <xdr:to>
      <xdr:col>44</xdr:col>
      <xdr:colOff>286075</xdr:colOff>
      <xdr:row>10</xdr:row>
      <xdr:rowOff>183327</xdr:rowOff>
    </xdr:to>
    <xdr:sp macro="" textlink="">
      <xdr:nvSpPr>
        <xdr:cNvPr id="4" name="Oval 3">
          <a:extLst>
            <a:ext uri="{FF2B5EF4-FFF2-40B4-BE49-F238E27FC236}">
              <a16:creationId xmlns:a16="http://schemas.microsoft.com/office/drawing/2014/main" id="{7BEDBFF6-2A07-104C-93B2-B725559C7A12}"/>
            </a:ext>
          </a:extLst>
        </xdr:cNvPr>
        <xdr:cNvSpPr/>
      </xdr:nvSpPr>
      <xdr:spPr>
        <a:xfrm>
          <a:off x="13965570" y="2170472"/>
          <a:ext cx="290505" cy="171855"/>
        </a:xfrm>
        <a:custGeom>
          <a:avLst/>
          <a:gdLst>
            <a:gd name="csX0" fmla="*/ 0 w 290505"/>
            <a:gd name="csY0" fmla="*/ 85928 h 171855"/>
            <a:gd name="csX1" fmla="*/ 145253 w 290505"/>
            <a:gd name="csY1" fmla="*/ 0 h 171855"/>
            <a:gd name="csX2" fmla="*/ 290506 w 290505"/>
            <a:gd name="csY2" fmla="*/ 85928 h 171855"/>
            <a:gd name="csX3" fmla="*/ 145253 w 290505"/>
            <a:gd name="csY3" fmla="*/ 171856 h 171855"/>
            <a:gd name="csX4" fmla="*/ 0 w 290505"/>
            <a:gd name="csY4" fmla="*/ 85928 h 171855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</a:cxnLst>
          <a:rect l="l" t="t" r="r" b="b"/>
          <a:pathLst>
            <a:path w="290505" h="171855" fill="none" extrusionOk="0">
              <a:moveTo>
                <a:pt x="0" y="85928"/>
              </a:moveTo>
              <a:cubicBezTo>
                <a:pt x="10188" y="39680"/>
                <a:pt x="69521" y="-9238"/>
                <a:pt x="145253" y="0"/>
              </a:cubicBezTo>
              <a:cubicBezTo>
                <a:pt x="222432" y="-466"/>
                <a:pt x="286012" y="42702"/>
                <a:pt x="290506" y="85928"/>
              </a:cubicBezTo>
              <a:cubicBezTo>
                <a:pt x="288602" y="115231"/>
                <a:pt x="221486" y="177398"/>
                <a:pt x="145253" y="171856"/>
              </a:cubicBezTo>
              <a:cubicBezTo>
                <a:pt x="70817" y="175095"/>
                <a:pt x="12702" y="136439"/>
                <a:pt x="0" y="85928"/>
              </a:cubicBezTo>
              <a:close/>
            </a:path>
            <a:path w="290505" h="171855" stroke="0" extrusionOk="0">
              <a:moveTo>
                <a:pt x="0" y="85928"/>
              </a:moveTo>
              <a:cubicBezTo>
                <a:pt x="-8609" y="33161"/>
                <a:pt x="49901" y="5679"/>
                <a:pt x="145253" y="0"/>
              </a:cubicBezTo>
              <a:cubicBezTo>
                <a:pt x="235429" y="2096"/>
                <a:pt x="277572" y="38882"/>
                <a:pt x="290506" y="85928"/>
              </a:cubicBezTo>
              <a:cubicBezTo>
                <a:pt x="283750" y="139982"/>
                <a:pt x="223028" y="185374"/>
                <a:pt x="145253" y="171856"/>
              </a:cubicBezTo>
              <a:cubicBezTo>
                <a:pt x="57919" y="167965"/>
                <a:pt x="5797" y="136155"/>
                <a:pt x="0" y="85928"/>
              </a:cubicBezTo>
              <a:close/>
            </a:path>
          </a:pathLst>
        </a:custGeom>
        <a:solidFill>
          <a:schemeClr val="bg2">
            <a:lumMod val="90000"/>
            <a:alpha val="46000"/>
          </a:schemeClr>
        </a:solidFill>
        <a:ln w="9525">
          <a:solidFill>
            <a:schemeClr val="tx1">
              <a:lumMod val="65000"/>
              <a:lumOff val="35000"/>
            </a:schemeClr>
          </a:solidFill>
          <a:extLst>
            <a:ext uri="{C807C97D-BFC1-408E-A445-0C87EB9F89A2}">
              <ask:lineSketchStyleProps xmlns:ask="http://schemas.microsoft.com/office/drawing/2018/sketchyshapes" sd="1219033472">
                <a:prstGeom prst="ellipse">
                  <a:avLst/>
                </a:prstGeom>
                <ask:type>
                  <ask:lineSketchScribble/>
                </ask:type>
              </ask:lineSketchStyleProps>
            </a:ext>
          </a:extLst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44</xdr:col>
      <xdr:colOff>1360</xdr:colOff>
      <xdr:row>13</xdr:row>
      <xdr:rowOff>25582</xdr:rowOff>
    </xdr:from>
    <xdr:to>
      <xdr:col>44</xdr:col>
      <xdr:colOff>293343</xdr:colOff>
      <xdr:row>13</xdr:row>
      <xdr:rowOff>197146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F23E71B0-A93B-B340-9777-40001E39145F}"/>
            </a:ext>
          </a:extLst>
        </xdr:cNvPr>
        <xdr:cNvSpPr/>
      </xdr:nvSpPr>
      <xdr:spPr>
        <a:xfrm>
          <a:off x="13971360" y="2832282"/>
          <a:ext cx="291983" cy="171564"/>
        </a:xfrm>
        <a:custGeom>
          <a:avLst/>
          <a:gdLst>
            <a:gd name="csX0" fmla="*/ 0 w 291983"/>
            <a:gd name="csY0" fmla="*/ 85782 h 171564"/>
            <a:gd name="csX1" fmla="*/ 145992 w 291983"/>
            <a:gd name="csY1" fmla="*/ 0 h 171564"/>
            <a:gd name="csX2" fmla="*/ 291984 w 291983"/>
            <a:gd name="csY2" fmla="*/ 85782 h 171564"/>
            <a:gd name="csX3" fmla="*/ 145992 w 291983"/>
            <a:gd name="csY3" fmla="*/ 171564 h 171564"/>
            <a:gd name="csX4" fmla="*/ 0 w 291983"/>
            <a:gd name="csY4" fmla="*/ 85782 h 171564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</a:cxnLst>
          <a:rect l="l" t="t" r="r" b="b"/>
          <a:pathLst>
            <a:path w="291983" h="171564" fill="none" extrusionOk="0">
              <a:moveTo>
                <a:pt x="0" y="85782"/>
              </a:moveTo>
              <a:cubicBezTo>
                <a:pt x="9161" y="39493"/>
                <a:pt x="67477" y="-4350"/>
                <a:pt x="145992" y="0"/>
              </a:cubicBezTo>
              <a:cubicBezTo>
                <a:pt x="224464" y="-330"/>
                <a:pt x="281918" y="47883"/>
                <a:pt x="291984" y="85782"/>
              </a:cubicBezTo>
              <a:cubicBezTo>
                <a:pt x="290295" y="117048"/>
                <a:pt x="217001" y="184933"/>
                <a:pt x="145992" y="171564"/>
              </a:cubicBezTo>
              <a:cubicBezTo>
                <a:pt x="74586" y="176727"/>
                <a:pt x="8013" y="135085"/>
                <a:pt x="0" y="85782"/>
              </a:cubicBezTo>
              <a:close/>
            </a:path>
            <a:path w="291983" h="171564" stroke="0" extrusionOk="0">
              <a:moveTo>
                <a:pt x="0" y="85782"/>
              </a:moveTo>
              <a:cubicBezTo>
                <a:pt x="-11348" y="31406"/>
                <a:pt x="55722" y="3619"/>
                <a:pt x="145992" y="0"/>
              </a:cubicBezTo>
              <a:cubicBezTo>
                <a:pt x="227776" y="243"/>
                <a:pt x="288788" y="38508"/>
                <a:pt x="291984" y="85782"/>
              </a:cubicBezTo>
              <a:cubicBezTo>
                <a:pt x="283418" y="141523"/>
                <a:pt x="226155" y="174141"/>
                <a:pt x="145992" y="171564"/>
              </a:cubicBezTo>
              <a:cubicBezTo>
                <a:pt x="54070" y="165385"/>
                <a:pt x="2127" y="134174"/>
                <a:pt x="0" y="85782"/>
              </a:cubicBezTo>
              <a:close/>
            </a:path>
          </a:pathLst>
        </a:custGeom>
        <a:solidFill>
          <a:schemeClr val="bg2">
            <a:lumMod val="90000"/>
            <a:alpha val="46000"/>
          </a:schemeClr>
        </a:solidFill>
        <a:ln w="9525">
          <a:solidFill>
            <a:schemeClr val="tx1">
              <a:lumMod val="65000"/>
              <a:lumOff val="35000"/>
            </a:schemeClr>
          </a:solidFill>
          <a:extLst>
            <a:ext uri="{C807C97D-BFC1-408E-A445-0C87EB9F89A2}">
              <ask:lineSketchStyleProps xmlns:ask="http://schemas.microsoft.com/office/drawing/2018/sketchyshapes" sd="1219033472">
                <a:prstGeom prst="ellipse">
                  <a:avLst/>
                </a:prstGeom>
                <ask:type>
                  <ask:lineSketchScribble/>
                </ask:type>
              </ask:lineSketchStyleProps>
            </a:ext>
          </a:extLst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44</xdr:col>
      <xdr:colOff>21393</xdr:colOff>
      <xdr:row>14</xdr:row>
      <xdr:rowOff>36625</xdr:rowOff>
    </xdr:from>
    <xdr:to>
      <xdr:col>44</xdr:col>
      <xdr:colOff>313376</xdr:colOff>
      <xdr:row>15</xdr:row>
      <xdr:rowOff>5280</xdr:rowOff>
    </xdr:to>
    <xdr:sp macro="" textlink="">
      <xdr:nvSpPr>
        <xdr:cNvPr id="6" name="Oval 5">
          <a:extLst>
            <a:ext uri="{FF2B5EF4-FFF2-40B4-BE49-F238E27FC236}">
              <a16:creationId xmlns:a16="http://schemas.microsoft.com/office/drawing/2014/main" id="{90216A7E-A824-744B-8567-AED7B2EB77F7}"/>
            </a:ext>
          </a:extLst>
        </xdr:cNvPr>
        <xdr:cNvSpPr/>
      </xdr:nvSpPr>
      <xdr:spPr>
        <a:xfrm>
          <a:off x="13991393" y="3059225"/>
          <a:ext cx="291983" cy="184555"/>
        </a:xfrm>
        <a:custGeom>
          <a:avLst/>
          <a:gdLst>
            <a:gd name="csX0" fmla="*/ 0 w 291983"/>
            <a:gd name="csY0" fmla="*/ 92278 h 184555"/>
            <a:gd name="csX1" fmla="*/ 145992 w 291983"/>
            <a:gd name="csY1" fmla="*/ 0 h 184555"/>
            <a:gd name="csX2" fmla="*/ 291984 w 291983"/>
            <a:gd name="csY2" fmla="*/ 92278 h 184555"/>
            <a:gd name="csX3" fmla="*/ 145992 w 291983"/>
            <a:gd name="csY3" fmla="*/ 184556 h 184555"/>
            <a:gd name="csX4" fmla="*/ 0 w 291983"/>
            <a:gd name="csY4" fmla="*/ 92278 h 184555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</a:cxnLst>
          <a:rect l="l" t="t" r="r" b="b"/>
          <a:pathLst>
            <a:path w="291983" h="184555" fill="none" extrusionOk="0">
              <a:moveTo>
                <a:pt x="0" y="92278"/>
              </a:moveTo>
              <a:cubicBezTo>
                <a:pt x="12800" y="42832"/>
                <a:pt x="74487" y="-18777"/>
                <a:pt x="145992" y="0"/>
              </a:cubicBezTo>
              <a:cubicBezTo>
                <a:pt x="215994" y="-1627"/>
                <a:pt x="290532" y="42681"/>
                <a:pt x="291984" y="92278"/>
              </a:cubicBezTo>
              <a:cubicBezTo>
                <a:pt x="290895" y="132857"/>
                <a:pt x="218117" y="196374"/>
                <a:pt x="145992" y="184556"/>
              </a:cubicBezTo>
              <a:cubicBezTo>
                <a:pt x="67199" y="185584"/>
                <a:pt x="2028" y="143730"/>
                <a:pt x="0" y="92278"/>
              </a:cubicBezTo>
              <a:close/>
            </a:path>
            <a:path w="291983" h="184555" stroke="0" extrusionOk="0">
              <a:moveTo>
                <a:pt x="0" y="92278"/>
              </a:moveTo>
              <a:cubicBezTo>
                <a:pt x="-10961" y="34553"/>
                <a:pt x="50045" y="5749"/>
                <a:pt x="145992" y="0"/>
              </a:cubicBezTo>
              <a:cubicBezTo>
                <a:pt x="232549" y="1248"/>
                <a:pt x="281055" y="41662"/>
                <a:pt x="291984" y="92278"/>
              </a:cubicBezTo>
              <a:cubicBezTo>
                <a:pt x="283152" y="151867"/>
                <a:pt x="222752" y="205943"/>
                <a:pt x="145992" y="184556"/>
              </a:cubicBezTo>
              <a:cubicBezTo>
                <a:pt x="63853" y="183730"/>
                <a:pt x="13392" y="149641"/>
                <a:pt x="0" y="92278"/>
              </a:cubicBezTo>
              <a:close/>
            </a:path>
          </a:pathLst>
        </a:custGeom>
        <a:solidFill>
          <a:schemeClr val="bg2">
            <a:lumMod val="90000"/>
            <a:alpha val="46000"/>
          </a:schemeClr>
        </a:solidFill>
        <a:ln w="9525">
          <a:solidFill>
            <a:schemeClr val="tx1">
              <a:lumMod val="65000"/>
              <a:lumOff val="35000"/>
            </a:schemeClr>
          </a:solidFill>
          <a:extLst>
            <a:ext uri="{C807C97D-BFC1-408E-A445-0C87EB9F89A2}">
              <ask:lineSketchStyleProps xmlns:ask="http://schemas.microsoft.com/office/drawing/2018/sketchyshapes" sd="1219033472">
                <a:prstGeom prst="ellipse">
                  <a:avLst/>
                </a:prstGeom>
                <ask:type>
                  <ask:lineSketchScribble/>
                </ask:type>
              </ask:lineSketchStyleProps>
            </a:ext>
          </a:extLst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44</xdr:col>
      <xdr:colOff>6684</xdr:colOff>
      <xdr:row>15</xdr:row>
      <xdr:rowOff>27488</xdr:rowOff>
    </xdr:from>
    <xdr:to>
      <xdr:col>44</xdr:col>
      <xdr:colOff>298667</xdr:colOff>
      <xdr:row>15</xdr:row>
      <xdr:rowOff>196898</xdr:rowOff>
    </xdr:to>
    <xdr:sp macro="" textlink="">
      <xdr:nvSpPr>
        <xdr:cNvPr id="7" name="Oval 6">
          <a:extLst>
            <a:ext uri="{FF2B5EF4-FFF2-40B4-BE49-F238E27FC236}">
              <a16:creationId xmlns:a16="http://schemas.microsoft.com/office/drawing/2014/main" id="{36AC6213-DB42-904D-975B-E824A41059D3}"/>
            </a:ext>
          </a:extLst>
        </xdr:cNvPr>
        <xdr:cNvSpPr/>
      </xdr:nvSpPr>
      <xdr:spPr>
        <a:xfrm>
          <a:off x="13976684" y="3265988"/>
          <a:ext cx="291983" cy="169410"/>
        </a:xfrm>
        <a:custGeom>
          <a:avLst/>
          <a:gdLst>
            <a:gd name="csX0" fmla="*/ 0 w 291983"/>
            <a:gd name="csY0" fmla="*/ 84705 h 169410"/>
            <a:gd name="csX1" fmla="*/ 145992 w 291983"/>
            <a:gd name="csY1" fmla="*/ 0 h 169410"/>
            <a:gd name="csX2" fmla="*/ 291984 w 291983"/>
            <a:gd name="csY2" fmla="*/ 84705 h 169410"/>
            <a:gd name="csX3" fmla="*/ 145992 w 291983"/>
            <a:gd name="csY3" fmla="*/ 169410 h 169410"/>
            <a:gd name="csX4" fmla="*/ 0 w 291983"/>
            <a:gd name="csY4" fmla="*/ 84705 h 169410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</a:cxnLst>
          <a:rect l="l" t="t" r="r" b="b"/>
          <a:pathLst>
            <a:path w="291983" h="169410" fill="none" extrusionOk="0">
              <a:moveTo>
                <a:pt x="0" y="84705"/>
              </a:moveTo>
              <a:cubicBezTo>
                <a:pt x="7904" y="38862"/>
                <a:pt x="71000" y="-11602"/>
                <a:pt x="145992" y="0"/>
              </a:cubicBezTo>
              <a:cubicBezTo>
                <a:pt x="213430" y="-2020"/>
                <a:pt x="287288" y="42345"/>
                <a:pt x="291984" y="84705"/>
              </a:cubicBezTo>
              <a:cubicBezTo>
                <a:pt x="290430" y="116665"/>
                <a:pt x="219754" y="178953"/>
                <a:pt x="145992" y="169410"/>
              </a:cubicBezTo>
              <a:cubicBezTo>
                <a:pt x="75839" y="175275"/>
                <a:pt x="3890" y="132421"/>
                <a:pt x="0" y="84705"/>
              </a:cubicBezTo>
              <a:close/>
            </a:path>
            <a:path w="291983" h="169410" stroke="0" extrusionOk="0">
              <a:moveTo>
                <a:pt x="0" y="84705"/>
              </a:moveTo>
              <a:cubicBezTo>
                <a:pt x="-13252" y="29750"/>
                <a:pt x="58741" y="2485"/>
                <a:pt x="145992" y="0"/>
              </a:cubicBezTo>
              <a:cubicBezTo>
                <a:pt x="238205" y="2439"/>
                <a:pt x="281350" y="38262"/>
                <a:pt x="291984" y="84705"/>
              </a:cubicBezTo>
              <a:cubicBezTo>
                <a:pt x="286240" y="137095"/>
                <a:pt x="225507" y="175565"/>
                <a:pt x="145992" y="169410"/>
              </a:cubicBezTo>
              <a:cubicBezTo>
                <a:pt x="62449" y="167816"/>
                <a:pt x="2805" y="132826"/>
                <a:pt x="0" y="84705"/>
              </a:cubicBezTo>
              <a:close/>
            </a:path>
          </a:pathLst>
        </a:custGeom>
        <a:solidFill>
          <a:schemeClr val="bg2">
            <a:lumMod val="90000"/>
            <a:alpha val="46000"/>
          </a:schemeClr>
        </a:solidFill>
        <a:ln w="9525">
          <a:solidFill>
            <a:schemeClr val="tx1">
              <a:lumMod val="65000"/>
              <a:lumOff val="35000"/>
            </a:schemeClr>
          </a:solidFill>
          <a:extLst>
            <a:ext uri="{C807C97D-BFC1-408E-A445-0C87EB9F89A2}">
              <ask:lineSketchStyleProps xmlns:ask="http://schemas.microsoft.com/office/drawing/2018/sketchyshapes" sd="1219033472">
                <a:prstGeom prst="ellipse">
                  <a:avLst/>
                </a:prstGeom>
                <ask:type>
                  <ask:lineSketchScribble/>
                </ask:type>
              </ask:lineSketchStyleProps>
            </a:ext>
          </a:extLst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44</xdr:col>
      <xdr:colOff>2191</xdr:colOff>
      <xdr:row>16</xdr:row>
      <xdr:rowOff>33200</xdr:rowOff>
    </xdr:from>
    <xdr:to>
      <xdr:col>44</xdr:col>
      <xdr:colOff>294174</xdr:colOff>
      <xdr:row>17</xdr:row>
      <xdr:rowOff>1855</xdr:rowOff>
    </xdr:to>
    <xdr:sp macro="" textlink="">
      <xdr:nvSpPr>
        <xdr:cNvPr id="8" name="Oval 7">
          <a:extLst>
            <a:ext uri="{FF2B5EF4-FFF2-40B4-BE49-F238E27FC236}">
              <a16:creationId xmlns:a16="http://schemas.microsoft.com/office/drawing/2014/main" id="{B1FFDFA4-E538-5244-BA1E-5B85998F128E}"/>
            </a:ext>
          </a:extLst>
        </xdr:cNvPr>
        <xdr:cNvSpPr/>
      </xdr:nvSpPr>
      <xdr:spPr>
        <a:xfrm>
          <a:off x="13972191" y="3487600"/>
          <a:ext cx="291983" cy="184555"/>
        </a:xfrm>
        <a:custGeom>
          <a:avLst/>
          <a:gdLst>
            <a:gd name="csX0" fmla="*/ 0 w 291983"/>
            <a:gd name="csY0" fmla="*/ 92278 h 184555"/>
            <a:gd name="csX1" fmla="*/ 145992 w 291983"/>
            <a:gd name="csY1" fmla="*/ 0 h 184555"/>
            <a:gd name="csX2" fmla="*/ 291984 w 291983"/>
            <a:gd name="csY2" fmla="*/ 92278 h 184555"/>
            <a:gd name="csX3" fmla="*/ 145992 w 291983"/>
            <a:gd name="csY3" fmla="*/ 184556 h 184555"/>
            <a:gd name="csX4" fmla="*/ 0 w 291983"/>
            <a:gd name="csY4" fmla="*/ 92278 h 184555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</a:cxnLst>
          <a:rect l="l" t="t" r="r" b="b"/>
          <a:pathLst>
            <a:path w="291983" h="184555" fill="none" extrusionOk="0">
              <a:moveTo>
                <a:pt x="0" y="92278"/>
              </a:moveTo>
              <a:cubicBezTo>
                <a:pt x="12800" y="42832"/>
                <a:pt x="74487" y="-18777"/>
                <a:pt x="145992" y="0"/>
              </a:cubicBezTo>
              <a:cubicBezTo>
                <a:pt x="215994" y="-1627"/>
                <a:pt x="290532" y="42681"/>
                <a:pt x="291984" y="92278"/>
              </a:cubicBezTo>
              <a:cubicBezTo>
                <a:pt x="290895" y="132857"/>
                <a:pt x="218117" y="196374"/>
                <a:pt x="145992" y="184556"/>
              </a:cubicBezTo>
              <a:cubicBezTo>
                <a:pt x="67199" y="185584"/>
                <a:pt x="2028" y="143730"/>
                <a:pt x="0" y="92278"/>
              </a:cubicBezTo>
              <a:close/>
            </a:path>
            <a:path w="291983" h="184555" stroke="0" extrusionOk="0">
              <a:moveTo>
                <a:pt x="0" y="92278"/>
              </a:moveTo>
              <a:cubicBezTo>
                <a:pt x="-10961" y="34553"/>
                <a:pt x="50045" y="5749"/>
                <a:pt x="145992" y="0"/>
              </a:cubicBezTo>
              <a:cubicBezTo>
                <a:pt x="232549" y="1248"/>
                <a:pt x="281055" y="41662"/>
                <a:pt x="291984" y="92278"/>
              </a:cubicBezTo>
              <a:cubicBezTo>
                <a:pt x="283152" y="151867"/>
                <a:pt x="222752" y="205943"/>
                <a:pt x="145992" y="184556"/>
              </a:cubicBezTo>
              <a:cubicBezTo>
                <a:pt x="63853" y="183730"/>
                <a:pt x="13392" y="149641"/>
                <a:pt x="0" y="92278"/>
              </a:cubicBezTo>
              <a:close/>
            </a:path>
          </a:pathLst>
        </a:custGeom>
        <a:solidFill>
          <a:schemeClr val="bg2">
            <a:lumMod val="90000"/>
            <a:alpha val="46000"/>
          </a:schemeClr>
        </a:solidFill>
        <a:ln w="9525">
          <a:solidFill>
            <a:schemeClr val="tx1">
              <a:lumMod val="65000"/>
              <a:lumOff val="35000"/>
            </a:schemeClr>
          </a:solidFill>
          <a:extLst>
            <a:ext uri="{C807C97D-BFC1-408E-A445-0C87EB9F89A2}">
              <ask:lineSketchStyleProps xmlns:ask="http://schemas.microsoft.com/office/drawing/2018/sketchyshapes" sd="1219033472">
                <a:prstGeom prst="ellipse">
                  <a:avLst/>
                </a:prstGeom>
                <ask:type>
                  <ask:lineSketchScribble/>
                </ask:type>
              </ask:lineSketchStyleProps>
            </a:ext>
          </a:extLst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44</xdr:col>
      <xdr:colOff>11005</xdr:colOff>
      <xdr:row>11</xdr:row>
      <xdr:rowOff>16676</xdr:rowOff>
    </xdr:from>
    <xdr:to>
      <xdr:col>44</xdr:col>
      <xdr:colOff>302987</xdr:colOff>
      <xdr:row>11</xdr:row>
      <xdr:rowOff>188531</xdr:rowOff>
    </xdr:to>
    <xdr:sp macro="" textlink="">
      <xdr:nvSpPr>
        <xdr:cNvPr id="9" name="Oval 8">
          <a:extLst>
            <a:ext uri="{FF2B5EF4-FFF2-40B4-BE49-F238E27FC236}">
              <a16:creationId xmlns:a16="http://schemas.microsoft.com/office/drawing/2014/main" id="{6BFB2750-CD55-414D-AC71-B78D12AFECF0}"/>
            </a:ext>
          </a:extLst>
        </xdr:cNvPr>
        <xdr:cNvSpPr/>
      </xdr:nvSpPr>
      <xdr:spPr>
        <a:xfrm>
          <a:off x="13981005" y="2391576"/>
          <a:ext cx="291982" cy="171855"/>
        </a:xfrm>
        <a:custGeom>
          <a:avLst/>
          <a:gdLst>
            <a:gd name="csX0" fmla="*/ 0 w 291982"/>
            <a:gd name="csY0" fmla="*/ 85928 h 171855"/>
            <a:gd name="csX1" fmla="*/ 145991 w 291982"/>
            <a:gd name="csY1" fmla="*/ 0 h 171855"/>
            <a:gd name="csX2" fmla="*/ 291982 w 291982"/>
            <a:gd name="csY2" fmla="*/ 85928 h 171855"/>
            <a:gd name="csX3" fmla="*/ 145991 w 291982"/>
            <a:gd name="csY3" fmla="*/ 171856 h 171855"/>
            <a:gd name="csX4" fmla="*/ 0 w 291982"/>
            <a:gd name="csY4" fmla="*/ 85928 h 171855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</a:cxnLst>
          <a:rect l="l" t="t" r="r" b="b"/>
          <a:pathLst>
            <a:path w="291982" h="171855" fill="none" extrusionOk="0">
              <a:moveTo>
                <a:pt x="0" y="85928"/>
              </a:moveTo>
              <a:cubicBezTo>
                <a:pt x="9027" y="39542"/>
                <a:pt x="74694" y="-19205"/>
                <a:pt x="145991" y="0"/>
              </a:cubicBezTo>
              <a:cubicBezTo>
                <a:pt x="223578" y="-466"/>
                <a:pt x="287488" y="42702"/>
                <a:pt x="291982" y="85928"/>
              </a:cubicBezTo>
              <a:cubicBezTo>
                <a:pt x="291815" y="131788"/>
                <a:pt x="219832" y="181289"/>
                <a:pt x="145991" y="171856"/>
              </a:cubicBezTo>
              <a:cubicBezTo>
                <a:pt x="71147" y="175095"/>
                <a:pt x="12702" y="136439"/>
                <a:pt x="0" y="85928"/>
              </a:cubicBezTo>
              <a:close/>
            </a:path>
            <a:path w="291982" h="171855" stroke="0" extrusionOk="0">
              <a:moveTo>
                <a:pt x="0" y="85928"/>
              </a:moveTo>
              <a:cubicBezTo>
                <a:pt x="-18245" y="27217"/>
                <a:pt x="47368" y="6753"/>
                <a:pt x="145991" y="0"/>
              </a:cubicBezTo>
              <a:cubicBezTo>
                <a:pt x="236575" y="2096"/>
                <a:pt x="279048" y="38882"/>
                <a:pt x="291982" y="85928"/>
              </a:cubicBezTo>
              <a:cubicBezTo>
                <a:pt x="288476" y="136809"/>
                <a:pt x="225785" y="176473"/>
                <a:pt x="145991" y="171856"/>
              </a:cubicBezTo>
              <a:cubicBezTo>
                <a:pt x="58249" y="167965"/>
                <a:pt x="5797" y="136155"/>
                <a:pt x="0" y="85928"/>
              </a:cubicBezTo>
              <a:close/>
            </a:path>
          </a:pathLst>
        </a:custGeom>
        <a:solidFill>
          <a:schemeClr val="bg2">
            <a:lumMod val="90000"/>
            <a:alpha val="46000"/>
          </a:schemeClr>
        </a:solidFill>
        <a:ln w="9525">
          <a:solidFill>
            <a:schemeClr val="tx1">
              <a:lumMod val="65000"/>
              <a:lumOff val="35000"/>
            </a:schemeClr>
          </a:solidFill>
          <a:extLst>
            <a:ext uri="{C807C97D-BFC1-408E-A445-0C87EB9F89A2}">
              <ask:lineSketchStyleProps xmlns:ask="http://schemas.microsoft.com/office/drawing/2018/sketchyshapes" sd="1219033472">
                <a:prstGeom prst="ellipse">
                  <a:avLst/>
                </a:prstGeom>
                <ask:type>
                  <ask:lineSketchScribble/>
                </ask:type>
              </ask:lineSketchStyleProps>
            </a:ext>
          </a:extLst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44</xdr:col>
      <xdr:colOff>2515</xdr:colOff>
      <xdr:row>12</xdr:row>
      <xdr:rowOff>16653</xdr:rowOff>
    </xdr:from>
    <xdr:to>
      <xdr:col>44</xdr:col>
      <xdr:colOff>294497</xdr:colOff>
      <xdr:row>12</xdr:row>
      <xdr:rowOff>188508</xdr:rowOff>
    </xdr:to>
    <xdr:sp macro="" textlink="">
      <xdr:nvSpPr>
        <xdr:cNvPr id="10" name="Oval 9">
          <a:extLst>
            <a:ext uri="{FF2B5EF4-FFF2-40B4-BE49-F238E27FC236}">
              <a16:creationId xmlns:a16="http://schemas.microsoft.com/office/drawing/2014/main" id="{9360604A-D165-7347-B105-8D7E5448B370}"/>
            </a:ext>
          </a:extLst>
        </xdr:cNvPr>
        <xdr:cNvSpPr/>
      </xdr:nvSpPr>
      <xdr:spPr>
        <a:xfrm>
          <a:off x="13972515" y="2607453"/>
          <a:ext cx="291982" cy="171855"/>
        </a:xfrm>
        <a:custGeom>
          <a:avLst/>
          <a:gdLst>
            <a:gd name="csX0" fmla="*/ 0 w 291982"/>
            <a:gd name="csY0" fmla="*/ 85928 h 171855"/>
            <a:gd name="csX1" fmla="*/ 145991 w 291982"/>
            <a:gd name="csY1" fmla="*/ 0 h 171855"/>
            <a:gd name="csX2" fmla="*/ 291982 w 291982"/>
            <a:gd name="csY2" fmla="*/ 85928 h 171855"/>
            <a:gd name="csX3" fmla="*/ 145991 w 291982"/>
            <a:gd name="csY3" fmla="*/ 171856 h 171855"/>
            <a:gd name="csX4" fmla="*/ 0 w 291982"/>
            <a:gd name="csY4" fmla="*/ 85928 h 171855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</a:cxnLst>
          <a:rect l="l" t="t" r="r" b="b"/>
          <a:pathLst>
            <a:path w="291982" h="171855" fill="none" extrusionOk="0">
              <a:moveTo>
                <a:pt x="0" y="85928"/>
              </a:moveTo>
              <a:cubicBezTo>
                <a:pt x="9027" y="39542"/>
                <a:pt x="74694" y="-19205"/>
                <a:pt x="145991" y="0"/>
              </a:cubicBezTo>
              <a:cubicBezTo>
                <a:pt x="223578" y="-466"/>
                <a:pt x="287488" y="42702"/>
                <a:pt x="291982" y="85928"/>
              </a:cubicBezTo>
              <a:cubicBezTo>
                <a:pt x="291815" y="131788"/>
                <a:pt x="219832" y="181289"/>
                <a:pt x="145991" y="171856"/>
              </a:cubicBezTo>
              <a:cubicBezTo>
                <a:pt x="71147" y="175095"/>
                <a:pt x="12702" y="136439"/>
                <a:pt x="0" y="85928"/>
              </a:cubicBezTo>
              <a:close/>
            </a:path>
            <a:path w="291982" h="171855" stroke="0" extrusionOk="0">
              <a:moveTo>
                <a:pt x="0" y="85928"/>
              </a:moveTo>
              <a:cubicBezTo>
                <a:pt x="-18245" y="27217"/>
                <a:pt x="47368" y="6753"/>
                <a:pt x="145991" y="0"/>
              </a:cubicBezTo>
              <a:cubicBezTo>
                <a:pt x="236575" y="2096"/>
                <a:pt x="279048" y="38882"/>
                <a:pt x="291982" y="85928"/>
              </a:cubicBezTo>
              <a:cubicBezTo>
                <a:pt x="288476" y="136809"/>
                <a:pt x="225785" y="176473"/>
                <a:pt x="145991" y="171856"/>
              </a:cubicBezTo>
              <a:cubicBezTo>
                <a:pt x="58249" y="167965"/>
                <a:pt x="5797" y="136155"/>
                <a:pt x="0" y="85928"/>
              </a:cubicBezTo>
              <a:close/>
            </a:path>
          </a:pathLst>
        </a:custGeom>
        <a:solidFill>
          <a:schemeClr val="bg2">
            <a:lumMod val="90000"/>
            <a:alpha val="46000"/>
          </a:schemeClr>
        </a:solidFill>
        <a:ln w="9525">
          <a:solidFill>
            <a:schemeClr val="tx1">
              <a:lumMod val="65000"/>
              <a:lumOff val="35000"/>
            </a:schemeClr>
          </a:solidFill>
          <a:extLst>
            <a:ext uri="{C807C97D-BFC1-408E-A445-0C87EB9F89A2}">
              <ask:lineSketchStyleProps xmlns:ask="http://schemas.microsoft.com/office/drawing/2018/sketchyshapes" sd="1219033472">
                <a:prstGeom prst="ellipse">
                  <a:avLst/>
                </a:prstGeom>
                <ask:type>
                  <ask:lineSketchScribble/>
                </ask:type>
              </ask:lineSketchStyleProps>
            </a:ext>
          </a:extLst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49</xdr:col>
      <xdr:colOff>53431</xdr:colOff>
      <xdr:row>12</xdr:row>
      <xdr:rowOff>13160</xdr:rowOff>
    </xdr:from>
    <xdr:to>
      <xdr:col>49</xdr:col>
      <xdr:colOff>265274</xdr:colOff>
      <xdr:row>13</xdr:row>
      <xdr:rowOff>19896</xdr:rowOff>
    </xdr:to>
    <xdr:sp macro="" textlink="$AN$25">
      <xdr:nvSpPr>
        <xdr:cNvPr id="11" name="Oval 10">
          <a:extLst>
            <a:ext uri="{FF2B5EF4-FFF2-40B4-BE49-F238E27FC236}">
              <a16:creationId xmlns:a16="http://schemas.microsoft.com/office/drawing/2014/main" id="{A088F2C0-732C-F348-B315-07614AFCEAA8}"/>
            </a:ext>
          </a:extLst>
        </xdr:cNvPr>
        <xdr:cNvSpPr/>
      </xdr:nvSpPr>
      <xdr:spPr>
        <a:xfrm>
          <a:off x="15610931" y="2603960"/>
          <a:ext cx="211843" cy="222636"/>
        </a:xfrm>
        <a:custGeom>
          <a:avLst/>
          <a:gdLst>
            <a:gd name="csX0" fmla="*/ 0 w 211843"/>
            <a:gd name="csY0" fmla="*/ 111318 h 222636"/>
            <a:gd name="csX1" fmla="*/ 105922 w 211843"/>
            <a:gd name="csY1" fmla="*/ 0 h 222636"/>
            <a:gd name="csX2" fmla="*/ 211844 w 211843"/>
            <a:gd name="csY2" fmla="*/ 111318 h 222636"/>
            <a:gd name="csX3" fmla="*/ 105922 w 211843"/>
            <a:gd name="csY3" fmla="*/ 222636 h 222636"/>
            <a:gd name="csX4" fmla="*/ 0 w 211843"/>
            <a:gd name="csY4" fmla="*/ 111318 h 222636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</a:cxnLst>
          <a:rect l="l" t="t" r="r" b="b"/>
          <a:pathLst>
            <a:path w="211843" h="222636" fill="none" extrusionOk="0">
              <a:moveTo>
                <a:pt x="0" y="111318"/>
              </a:moveTo>
              <a:cubicBezTo>
                <a:pt x="6838" y="50650"/>
                <a:pt x="50588" y="-6513"/>
                <a:pt x="105922" y="0"/>
              </a:cubicBezTo>
              <a:cubicBezTo>
                <a:pt x="157207" y="-1105"/>
                <a:pt x="204755" y="56514"/>
                <a:pt x="211844" y="111318"/>
              </a:cubicBezTo>
              <a:cubicBezTo>
                <a:pt x="211569" y="170179"/>
                <a:pt x="156060" y="234255"/>
                <a:pt x="105922" y="222636"/>
              </a:cubicBezTo>
              <a:cubicBezTo>
                <a:pt x="62004" y="230799"/>
                <a:pt x="17755" y="177066"/>
                <a:pt x="0" y="111318"/>
              </a:cubicBezTo>
              <a:close/>
            </a:path>
            <a:path w="211843" h="222636" stroke="0" extrusionOk="0">
              <a:moveTo>
                <a:pt x="0" y="111318"/>
              </a:moveTo>
              <a:cubicBezTo>
                <a:pt x="-10188" y="43555"/>
                <a:pt x="45622" y="676"/>
                <a:pt x="105922" y="0"/>
              </a:cubicBezTo>
              <a:cubicBezTo>
                <a:pt x="173340" y="1878"/>
                <a:pt x="203363" y="50109"/>
                <a:pt x="211844" y="111318"/>
              </a:cubicBezTo>
              <a:cubicBezTo>
                <a:pt x="204632" y="179840"/>
                <a:pt x="163850" y="225793"/>
                <a:pt x="105922" y="222636"/>
              </a:cubicBezTo>
              <a:cubicBezTo>
                <a:pt x="33240" y="214876"/>
                <a:pt x="8880" y="177040"/>
                <a:pt x="0" y="111318"/>
              </a:cubicBezTo>
              <a:close/>
            </a:path>
          </a:pathLst>
        </a:custGeom>
        <a:solidFill>
          <a:srgbClr val="FFC000">
            <a:alpha val="52000"/>
          </a:srgbClr>
        </a:solidFill>
        <a:ln w="19050">
          <a:solidFill>
            <a:schemeClr val="tx1">
              <a:lumMod val="65000"/>
              <a:lumOff val="35000"/>
            </a:schemeClr>
          </a:solidFill>
          <a:extLst>
            <a:ext uri="{C807C97D-BFC1-408E-A445-0C87EB9F89A2}">
              <ask:lineSketchStyleProps xmlns:ask="http://schemas.microsoft.com/office/drawing/2018/sketchyshapes" sd="1219033472">
                <a:prstGeom prst="ellipse">
                  <a:avLst/>
                </a:prstGeom>
                <ask:type>
                  <ask:lineSketchScribble/>
                </ask:type>
              </ask:lineSketchStyleProps>
            </a:ext>
          </a:extLst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51</xdr:col>
      <xdr:colOff>63002</xdr:colOff>
      <xdr:row>12</xdr:row>
      <xdr:rowOff>36476</xdr:rowOff>
    </xdr:from>
    <xdr:to>
      <xdr:col>51</xdr:col>
      <xdr:colOff>261567</xdr:colOff>
      <xdr:row>12</xdr:row>
      <xdr:rowOff>197205</xdr:rowOff>
    </xdr:to>
    <xdr:sp macro="" textlink="">
      <xdr:nvSpPr>
        <xdr:cNvPr id="12" name="Oval 11">
          <a:extLst>
            <a:ext uri="{FF2B5EF4-FFF2-40B4-BE49-F238E27FC236}">
              <a16:creationId xmlns:a16="http://schemas.microsoft.com/office/drawing/2014/main" id="{B191247F-478C-E647-A706-58A87D9293A1}"/>
            </a:ext>
          </a:extLst>
        </xdr:cNvPr>
        <xdr:cNvSpPr/>
      </xdr:nvSpPr>
      <xdr:spPr>
        <a:xfrm>
          <a:off x="16255502" y="2627276"/>
          <a:ext cx="198565" cy="160729"/>
        </a:xfrm>
        <a:custGeom>
          <a:avLst/>
          <a:gdLst>
            <a:gd name="csX0" fmla="*/ 0 w 198565"/>
            <a:gd name="csY0" fmla="*/ 80365 h 160729"/>
            <a:gd name="csX1" fmla="*/ 99283 w 198565"/>
            <a:gd name="csY1" fmla="*/ 0 h 160729"/>
            <a:gd name="csX2" fmla="*/ 198566 w 198565"/>
            <a:gd name="csY2" fmla="*/ 80365 h 160729"/>
            <a:gd name="csX3" fmla="*/ 99283 w 198565"/>
            <a:gd name="csY3" fmla="*/ 160730 h 160729"/>
            <a:gd name="csX4" fmla="*/ 0 w 198565"/>
            <a:gd name="csY4" fmla="*/ 80365 h 160729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</a:cxnLst>
          <a:rect l="l" t="t" r="r" b="b"/>
          <a:pathLst>
            <a:path w="198565" h="160729" fill="none" extrusionOk="0">
              <a:moveTo>
                <a:pt x="0" y="80365"/>
              </a:moveTo>
              <a:cubicBezTo>
                <a:pt x="8167" y="36950"/>
                <a:pt x="45629" y="-2425"/>
                <a:pt x="99283" y="0"/>
              </a:cubicBezTo>
              <a:cubicBezTo>
                <a:pt x="147779" y="-970"/>
                <a:pt x="191684" y="42460"/>
                <a:pt x="198566" y="80365"/>
              </a:cubicBezTo>
              <a:cubicBezTo>
                <a:pt x="197310" y="112775"/>
                <a:pt x="147152" y="170407"/>
                <a:pt x="99283" y="160730"/>
              </a:cubicBezTo>
              <a:cubicBezTo>
                <a:pt x="45908" y="161545"/>
                <a:pt x="10144" y="127188"/>
                <a:pt x="0" y="80365"/>
              </a:cubicBezTo>
              <a:close/>
            </a:path>
            <a:path w="198565" h="160729" stroke="0" extrusionOk="0">
              <a:moveTo>
                <a:pt x="0" y="80365"/>
              </a:moveTo>
              <a:cubicBezTo>
                <a:pt x="-10252" y="29657"/>
                <a:pt x="42395" y="772"/>
                <a:pt x="99283" y="0"/>
              </a:cubicBezTo>
              <a:cubicBezTo>
                <a:pt x="157029" y="614"/>
                <a:pt x="194096" y="36123"/>
                <a:pt x="198566" y="80365"/>
              </a:cubicBezTo>
              <a:cubicBezTo>
                <a:pt x="191965" y="131195"/>
                <a:pt x="152547" y="169397"/>
                <a:pt x="99283" y="160730"/>
              </a:cubicBezTo>
              <a:cubicBezTo>
                <a:pt x="34322" y="155188"/>
                <a:pt x="3880" y="126603"/>
                <a:pt x="0" y="80365"/>
              </a:cubicBezTo>
              <a:close/>
            </a:path>
          </a:pathLst>
        </a:custGeom>
        <a:solidFill>
          <a:schemeClr val="accent3">
            <a:lumMod val="40000"/>
            <a:lumOff val="60000"/>
            <a:alpha val="47000"/>
          </a:schemeClr>
        </a:solidFill>
        <a:ln w="19050">
          <a:solidFill>
            <a:schemeClr val="tx1">
              <a:lumMod val="65000"/>
              <a:lumOff val="35000"/>
            </a:schemeClr>
          </a:solidFill>
          <a:extLst>
            <a:ext uri="{C807C97D-BFC1-408E-A445-0C87EB9F89A2}">
              <ask:lineSketchStyleProps xmlns:ask="http://schemas.microsoft.com/office/drawing/2018/sketchyshapes" sd="1219033472">
                <a:prstGeom prst="ellipse">
                  <a:avLst/>
                </a:prstGeom>
                <ask:type>
                  <ask:lineSketchScribble/>
                </ask:type>
              </ask:lineSketchStyleProps>
            </a:ext>
          </a:extLst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45</xdr:col>
      <xdr:colOff>32517</xdr:colOff>
      <xdr:row>8</xdr:row>
      <xdr:rowOff>61288</xdr:rowOff>
    </xdr:from>
    <xdr:to>
      <xdr:col>53</xdr:col>
      <xdr:colOff>45359</xdr:colOff>
      <xdr:row>16</xdr:row>
      <xdr:rowOff>170595</xdr:rowOff>
    </xdr:to>
    <xdr:grpSp>
      <xdr:nvGrpSpPr>
        <xdr:cNvPr id="13" name="Group 12">
          <a:extLst>
            <a:ext uri="{FF2B5EF4-FFF2-40B4-BE49-F238E27FC236}">
              <a16:creationId xmlns:a16="http://schemas.microsoft.com/office/drawing/2014/main" id="{D374CC90-5FF5-2B4E-9A8C-EE55DFF22163}"/>
            </a:ext>
          </a:extLst>
        </xdr:cNvPr>
        <xdr:cNvGrpSpPr/>
      </xdr:nvGrpSpPr>
      <xdr:grpSpPr>
        <a:xfrm>
          <a:off x="14533263" y="1729348"/>
          <a:ext cx="2590753" cy="1777366"/>
          <a:chOff x="14901147" y="1675151"/>
          <a:chExt cx="2544933" cy="1723170"/>
        </a:xfrm>
      </xdr:grpSpPr>
      <xdr:cxnSp macro="">
        <xdr:nvCxnSpPr>
          <xdr:cNvPr id="14" name="Straight Connector 13">
            <a:extLst>
              <a:ext uri="{FF2B5EF4-FFF2-40B4-BE49-F238E27FC236}">
                <a16:creationId xmlns:a16="http://schemas.microsoft.com/office/drawing/2014/main" id="{3EE32693-D337-C9DE-D983-39D275E32546}"/>
              </a:ext>
            </a:extLst>
          </xdr:cNvPr>
          <xdr:cNvCxnSpPr/>
        </xdr:nvCxnSpPr>
        <xdr:spPr>
          <a:xfrm flipV="1">
            <a:off x="14917163" y="1737164"/>
            <a:ext cx="284259" cy="2082"/>
          </a:xfrm>
          <a:prstGeom prst="line">
            <a:avLst/>
          </a:prstGeom>
          <a:ln w="9525">
            <a:solidFill>
              <a:schemeClr val="bg1">
                <a:lumMod val="85000"/>
              </a:schemeClr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5" name="Straight Connector 14">
            <a:extLst>
              <a:ext uri="{FF2B5EF4-FFF2-40B4-BE49-F238E27FC236}">
                <a16:creationId xmlns:a16="http://schemas.microsoft.com/office/drawing/2014/main" id="{6087A054-1536-BAE1-E571-879FDF604262}"/>
              </a:ext>
            </a:extLst>
          </xdr:cNvPr>
          <xdr:cNvCxnSpPr/>
        </xdr:nvCxnSpPr>
        <xdr:spPr>
          <a:xfrm flipV="1">
            <a:off x="14911824" y="1938897"/>
            <a:ext cx="297818" cy="787"/>
          </a:xfrm>
          <a:prstGeom prst="line">
            <a:avLst/>
          </a:prstGeom>
          <a:ln w="9525">
            <a:solidFill>
              <a:schemeClr val="bg1">
                <a:lumMod val="85000"/>
              </a:schemeClr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6" name="Straight Connector 15">
            <a:extLst>
              <a:ext uri="{FF2B5EF4-FFF2-40B4-BE49-F238E27FC236}">
                <a16:creationId xmlns:a16="http://schemas.microsoft.com/office/drawing/2014/main" id="{35645459-D9E2-2D80-B1D8-B7F004592FFD}"/>
              </a:ext>
            </a:extLst>
          </xdr:cNvPr>
          <xdr:cNvCxnSpPr/>
        </xdr:nvCxnSpPr>
        <xdr:spPr>
          <a:xfrm>
            <a:off x="14911825" y="2145462"/>
            <a:ext cx="289597" cy="3388"/>
          </a:xfrm>
          <a:prstGeom prst="line">
            <a:avLst/>
          </a:prstGeom>
          <a:ln w="9525">
            <a:solidFill>
              <a:schemeClr val="bg1">
                <a:lumMod val="85000"/>
              </a:schemeClr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7" name="Straight Connector 16">
            <a:extLst>
              <a:ext uri="{FF2B5EF4-FFF2-40B4-BE49-F238E27FC236}">
                <a16:creationId xmlns:a16="http://schemas.microsoft.com/office/drawing/2014/main" id="{2C7ED5B7-6F91-CAB5-9C49-A2B8F216CCE8}"/>
              </a:ext>
            </a:extLst>
          </xdr:cNvPr>
          <xdr:cNvCxnSpPr/>
        </xdr:nvCxnSpPr>
        <xdr:spPr>
          <a:xfrm flipV="1">
            <a:off x="14906486" y="2342362"/>
            <a:ext cx="294936" cy="3538"/>
          </a:xfrm>
          <a:prstGeom prst="line">
            <a:avLst/>
          </a:prstGeom>
          <a:ln w="9525">
            <a:solidFill>
              <a:schemeClr val="bg1">
                <a:lumMod val="85000"/>
              </a:schemeClr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8" name="Straight Connector 17">
            <a:extLst>
              <a:ext uri="{FF2B5EF4-FFF2-40B4-BE49-F238E27FC236}">
                <a16:creationId xmlns:a16="http://schemas.microsoft.com/office/drawing/2014/main" id="{6C64D051-F731-3321-4F61-37139F4B3375}"/>
              </a:ext>
            </a:extLst>
          </xdr:cNvPr>
          <xdr:cNvCxnSpPr/>
        </xdr:nvCxnSpPr>
        <xdr:spPr>
          <a:xfrm>
            <a:off x="14911824" y="2536793"/>
            <a:ext cx="273158" cy="3192"/>
          </a:xfrm>
          <a:prstGeom prst="line">
            <a:avLst/>
          </a:prstGeom>
          <a:ln w="9525">
            <a:solidFill>
              <a:schemeClr val="bg1">
                <a:lumMod val="85000"/>
              </a:schemeClr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9" name="Straight Connector 18">
            <a:extLst>
              <a:ext uri="{FF2B5EF4-FFF2-40B4-BE49-F238E27FC236}">
                <a16:creationId xmlns:a16="http://schemas.microsoft.com/office/drawing/2014/main" id="{64E82004-F80B-6CAB-821C-61D32D2E3AB0}"/>
              </a:ext>
            </a:extLst>
          </xdr:cNvPr>
          <xdr:cNvCxnSpPr/>
        </xdr:nvCxnSpPr>
        <xdr:spPr>
          <a:xfrm>
            <a:off x="14906485" y="2737232"/>
            <a:ext cx="286717" cy="4486"/>
          </a:xfrm>
          <a:prstGeom prst="line">
            <a:avLst/>
          </a:prstGeom>
          <a:ln w="9525">
            <a:solidFill>
              <a:schemeClr val="bg1">
                <a:lumMod val="85000"/>
              </a:schemeClr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0" name="Straight Connector 19">
            <a:extLst>
              <a:ext uri="{FF2B5EF4-FFF2-40B4-BE49-F238E27FC236}">
                <a16:creationId xmlns:a16="http://schemas.microsoft.com/office/drawing/2014/main" id="{9A1C173E-70C8-2E05-64E8-CED139A3E199}"/>
              </a:ext>
            </a:extLst>
          </xdr:cNvPr>
          <xdr:cNvCxnSpPr/>
        </xdr:nvCxnSpPr>
        <xdr:spPr>
          <a:xfrm>
            <a:off x="14906486" y="2943010"/>
            <a:ext cx="299046" cy="4551"/>
          </a:xfrm>
          <a:prstGeom prst="line">
            <a:avLst/>
          </a:prstGeom>
          <a:ln w="9525">
            <a:solidFill>
              <a:schemeClr val="bg1">
                <a:lumMod val="85000"/>
              </a:schemeClr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1" name="Straight Connector 20">
            <a:extLst>
              <a:ext uri="{FF2B5EF4-FFF2-40B4-BE49-F238E27FC236}">
                <a16:creationId xmlns:a16="http://schemas.microsoft.com/office/drawing/2014/main" id="{530F0B69-97A8-05E2-3DBA-E761E9BD6499}"/>
              </a:ext>
            </a:extLst>
          </xdr:cNvPr>
          <xdr:cNvCxnSpPr/>
        </xdr:nvCxnSpPr>
        <xdr:spPr>
          <a:xfrm>
            <a:off x="14901147" y="3143449"/>
            <a:ext cx="308495" cy="5845"/>
          </a:xfrm>
          <a:prstGeom prst="line">
            <a:avLst/>
          </a:prstGeom>
          <a:ln w="9525">
            <a:solidFill>
              <a:schemeClr val="bg1">
                <a:lumMod val="85000"/>
              </a:schemeClr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2" name="Straight Connector 21">
            <a:extLst>
              <a:ext uri="{FF2B5EF4-FFF2-40B4-BE49-F238E27FC236}">
                <a16:creationId xmlns:a16="http://schemas.microsoft.com/office/drawing/2014/main" id="{2EB34082-34FD-9CA3-F637-AF2AD718011F}"/>
              </a:ext>
            </a:extLst>
          </xdr:cNvPr>
          <xdr:cNvCxnSpPr/>
        </xdr:nvCxnSpPr>
        <xdr:spPr>
          <a:xfrm>
            <a:off x="14907942" y="3351976"/>
            <a:ext cx="289370" cy="3161"/>
          </a:xfrm>
          <a:prstGeom prst="line">
            <a:avLst/>
          </a:prstGeom>
          <a:ln w="9525">
            <a:solidFill>
              <a:schemeClr val="bg1">
                <a:lumMod val="85000"/>
              </a:schemeClr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3" name="Straight Connector 22">
            <a:extLst>
              <a:ext uri="{FF2B5EF4-FFF2-40B4-BE49-F238E27FC236}">
                <a16:creationId xmlns:a16="http://schemas.microsoft.com/office/drawing/2014/main" id="{F0473113-5E52-9B70-B26E-1831C59161C8}"/>
              </a:ext>
            </a:extLst>
          </xdr:cNvPr>
          <xdr:cNvCxnSpPr/>
        </xdr:nvCxnSpPr>
        <xdr:spPr>
          <a:xfrm>
            <a:off x="15460354" y="1749494"/>
            <a:ext cx="725225" cy="700749"/>
          </a:xfrm>
          <a:prstGeom prst="line">
            <a:avLst/>
          </a:prstGeom>
          <a:ln w="9525">
            <a:solidFill>
              <a:schemeClr val="bg1">
                <a:lumMod val="85000"/>
              </a:schemeClr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4" name="Straight Connector 23">
            <a:extLst>
              <a:ext uri="{FF2B5EF4-FFF2-40B4-BE49-F238E27FC236}">
                <a16:creationId xmlns:a16="http://schemas.microsoft.com/office/drawing/2014/main" id="{C7182FBC-4B67-1DC8-68C5-74C69698F7E0}"/>
              </a:ext>
            </a:extLst>
          </xdr:cNvPr>
          <xdr:cNvCxnSpPr/>
        </xdr:nvCxnSpPr>
        <xdr:spPr>
          <a:xfrm>
            <a:off x="15460354" y="1963557"/>
            <a:ext cx="703138" cy="512455"/>
          </a:xfrm>
          <a:prstGeom prst="line">
            <a:avLst/>
          </a:prstGeom>
          <a:ln w="9525">
            <a:solidFill>
              <a:schemeClr val="bg1">
                <a:lumMod val="85000"/>
              </a:schemeClr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5" name="Straight Connector 24">
            <a:extLst>
              <a:ext uri="{FF2B5EF4-FFF2-40B4-BE49-F238E27FC236}">
                <a16:creationId xmlns:a16="http://schemas.microsoft.com/office/drawing/2014/main" id="{7A4019EB-A443-D0B9-24A0-BD2F009EC1D8}"/>
              </a:ext>
            </a:extLst>
          </xdr:cNvPr>
          <xdr:cNvCxnSpPr/>
        </xdr:nvCxnSpPr>
        <xdr:spPr>
          <a:xfrm>
            <a:off x="15452134" y="2157070"/>
            <a:ext cx="696634" cy="348391"/>
          </a:xfrm>
          <a:prstGeom prst="line">
            <a:avLst/>
          </a:prstGeom>
          <a:ln w="9525">
            <a:solidFill>
              <a:schemeClr val="bg1">
                <a:lumMod val="85000"/>
              </a:schemeClr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6" name="Straight Connector 25">
            <a:extLst>
              <a:ext uri="{FF2B5EF4-FFF2-40B4-BE49-F238E27FC236}">
                <a16:creationId xmlns:a16="http://schemas.microsoft.com/office/drawing/2014/main" id="{CFC64822-DBCD-8426-6E52-A8E2DE93C2F0}"/>
              </a:ext>
            </a:extLst>
          </xdr:cNvPr>
          <xdr:cNvCxnSpPr/>
        </xdr:nvCxnSpPr>
        <xdr:spPr>
          <a:xfrm>
            <a:off x="15456244" y="2342362"/>
            <a:ext cx="681480" cy="192548"/>
          </a:xfrm>
          <a:prstGeom prst="line">
            <a:avLst/>
          </a:prstGeom>
          <a:ln w="9525">
            <a:solidFill>
              <a:schemeClr val="bg1">
                <a:lumMod val="85000"/>
              </a:schemeClr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7" name="Straight Connector 26">
            <a:extLst>
              <a:ext uri="{FF2B5EF4-FFF2-40B4-BE49-F238E27FC236}">
                <a16:creationId xmlns:a16="http://schemas.microsoft.com/office/drawing/2014/main" id="{42820F91-5EE7-F5D9-0ED1-9BE12356F032}"/>
              </a:ext>
            </a:extLst>
          </xdr:cNvPr>
          <xdr:cNvCxnSpPr/>
        </xdr:nvCxnSpPr>
        <xdr:spPr>
          <a:xfrm>
            <a:off x="15456244" y="2552315"/>
            <a:ext cx="681480" cy="8363"/>
          </a:xfrm>
          <a:prstGeom prst="line">
            <a:avLst/>
          </a:prstGeom>
          <a:ln w="9525">
            <a:solidFill>
              <a:schemeClr val="bg1">
                <a:lumMod val="85000"/>
              </a:schemeClr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8" name="Straight Connector 27">
            <a:extLst>
              <a:ext uri="{FF2B5EF4-FFF2-40B4-BE49-F238E27FC236}">
                <a16:creationId xmlns:a16="http://schemas.microsoft.com/office/drawing/2014/main" id="{0BBD9D4D-5ABF-275F-377D-5C391253D9AF}"/>
              </a:ext>
            </a:extLst>
          </xdr:cNvPr>
          <xdr:cNvCxnSpPr/>
        </xdr:nvCxnSpPr>
        <xdr:spPr>
          <a:xfrm flipV="1">
            <a:off x="15452134" y="2586871"/>
            <a:ext cx="694935" cy="171287"/>
          </a:xfrm>
          <a:prstGeom prst="line">
            <a:avLst/>
          </a:prstGeom>
          <a:ln w="9525">
            <a:solidFill>
              <a:schemeClr val="bg1">
                <a:lumMod val="85000"/>
              </a:schemeClr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9" name="Straight Connector 28">
            <a:extLst>
              <a:ext uri="{FF2B5EF4-FFF2-40B4-BE49-F238E27FC236}">
                <a16:creationId xmlns:a16="http://schemas.microsoft.com/office/drawing/2014/main" id="{C1843605-0436-7FF7-200E-E2E860C82B03}"/>
              </a:ext>
            </a:extLst>
          </xdr:cNvPr>
          <xdr:cNvCxnSpPr/>
        </xdr:nvCxnSpPr>
        <xdr:spPr>
          <a:xfrm flipV="1">
            <a:off x="15464464" y="2609666"/>
            <a:ext cx="698887" cy="337895"/>
          </a:xfrm>
          <a:prstGeom prst="line">
            <a:avLst/>
          </a:prstGeom>
          <a:ln w="9525">
            <a:solidFill>
              <a:schemeClr val="bg1">
                <a:lumMod val="85000"/>
              </a:schemeClr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0" name="Straight Connector 29">
            <a:extLst>
              <a:ext uri="{FF2B5EF4-FFF2-40B4-BE49-F238E27FC236}">
                <a16:creationId xmlns:a16="http://schemas.microsoft.com/office/drawing/2014/main" id="{36003A5A-5B2B-65C6-E9E9-4CF28E7A1E12}"/>
              </a:ext>
            </a:extLst>
          </xdr:cNvPr>
          <xdr:cNvCxnSpPr/>
        </xdr:nvCxnSpPr>
        <xdr:spPr>
          <a:xfrm flipV="1">
            <a:off x="15456244" y="2626208"/>
            <a:ext cx="721973" cy="510756"/>
          </a:xfrm>
          <a:prstGeom prst="line">
            <a:avLst/>
          </a:prstGeom>
          <a:ln w="9525">
            <a:solidFill>
              <a:schemeClr val="bg1">
                <a:lumMod val="85000"/>
              </a:schemeClr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1" name="Straight Connector 30">
            <a:extLst>
              <a:ext uri="{FF2B5EF4-FFF2-40B4-BE49-F238E27FC236}">
                <a16:creationId xmlns:a16="http://schemas.microsoft.com/office/drawing/2014/main" id="{6659E77C-3381-7284-C4FF-5F5E9B980C23}"/>
              </a:ext>
            </a:extLst>
          </xdr:cNvPr>
          <xdr:cNvCxnSpPr/>
        </xdr:nvCxnSpPr>
        <xdr:spPr>
          <a:xfrm flipV="1">
            <a:off x="15448024" y="2651760"/>
            <a:ext cx="750981" cy="691047"/>
          </a:xfrm>
          <a:prstGeom prst="line">
            <a:avLst/>
          </a:prstGeom>
          <a:ln w="9525">
            <a:solidFill>
              <a:schemeClr val="bg1">
                <a:lumMod val="85000"/>
              </a:schemeClr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2" name="Straight Connector 31">
            <a:extLst>
              <a:ext uri="{FF2B5EF4-FFF2-40B4-BE49-F238E27FC236}">
                <a16:creationId xmlns:a16="http://schemas.microsoft.com/office/drawing/2014/main" id="{68E77B49-C15F-B208-48B4-DA6CB5C2136A}"/>
              </a:ext>
            </a:extLst>
          </xdr:cNvPr>
          <xdr:cNvCxnSpPr/>
        </xdr:nvCxnSpPr>
        <xdr:spPr>
          <a:xfrm flipV="1">
            <a:off x="16298551" y="1823816"/>
            <a:ext cx="4003" cy="553172"/>
          </a:xfrm>
          <a:prstGeom prst="line">
            <a:avLst/>
          </a:prstGeom>
          <a:ln w="9525">
            <a:solidFill>
              <a:schemeClr val="bg1">
                <a:lumMod val="85000"/>
              </a:schemeClr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3" name="Straight Connector 32">
            <a:extLst>
              <a:ext uri="{FF2B5EF4-FFF2-40B4-BE49-F238E27FC236}">
                <a16:creationId xmlns:a16="http://schemas.microsoft.com/office/drawing/2014/main" id="{4F423B32-EBFE-1268-8F56-A93ABABC55E2}"/>
              </a:ext>
            </a:extLst>
          </xdr:cNvPr>
          <xdr:cNvCxnSpPr/>
        </xdr:nvCxnSpPr>
        <xdr:spPr>
          <a:xfrm flipH="1" flipV="1">
            <a:off x="16429965" y="2548205"/>
            <a:ext cx="345006" cy="8220"/>
          </a:xfrm>
          <a:prstGeom prst="line">
            <a:avLst/>
          </a:prstGeom>
          <a:ln w="9525">
            <a:solidFill>
              <a:schemeClr val="bg1">
                <a:lumMod val="85000"/>
              </a:schemeClr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34" name="Rounded Rectangle 33">
            <a:extLst>
              <a:ext uri="{FF2B5EF4-FFF2-40B4-BE49-F238E27FC236}">
                <a16:creationId xmlns:a16="http://schemas.microsoft.com/office/drawing/2014/main" id="{32158CC7-1B10-936B-D9B3-A6886A6D5EF1}"/>
              </a:ext>
            </a:extLst>
          </xdr:cNvPr>
          <xdr:cNvSpPr/>
        </xdr:nvSpPr>
        <xdr:spPr>
          <a:xfrm>
            <a:off x="15263085" y="1675151"/>
            <a:ext cx="165203" cy="108414"/>
          </a:xfrm>
          <a:custGeom>
            <a:avLst/>
            <a:gdLst>
              <a:gd name="csX0" fmla="*/ 0 w 165203"/>
              <a:gd name="csY0" fmla="*/ 24616 h 108414"/>
              <a:gd name="csX1" fmla="*/ 24616 w 165203"/>
              <a:gd name="csY1" fmla="*/ 0 h 108414"/>
              <a:gd name="csX2" fmla="*/ 140587 w 165203"/>
              <a:gd name="csY2" fmla="*/ 0 h 108414"/>
              <a:gd name="csX3" fmla="*/ 165203 w 165203"/>
              <a:gd name="csY3" fmla="*/ 24616 h 108414"/>
              <a:gd name="csX4" fmla="*/ 165203 w 165203"/>
              <a:gd name="csY4" fmla="*/ 83798 h 108414"/>
              <a:gd name="csX5" fmla="*/ 140587 w 165203"/>
              <a:gd name="csY5" fmla="*/ 108414 h 108414"/>
              <a:gd name="csX6" fmla="*/ 24616 w 165203"/>
              <a:gd name="csY6" fmla="*/ 108414 h 108414"/>
              <a:gd name="csX7" fmla="*/ 0 w 165203"/>
              <a:gd name="csY7" fmla="*/ 83798 h 108414"/>
              <a:gd name="csX8" fmla="*/ 0 w 165203"/>
              <a:gd name="csY8" fmla="*/ 24616 h 108414"/>
            </a:gdLst>
            <a:ahLst/>
            <a:cxnLst>
              <a:cxn ang="0">
                <a:pos x="csX0" y="csY0"/>
              </a:cxn>
              <a:cxn ang="0">
                <a:pos x="csX1" y="csY1"/>
              </a:cxn>
              <a:cxn ang="0">
                <a:pos x="csX2" y="csY2"/>
              </a:cxn>
              <a:cxn ang="0">
                <a:pos x="csX3" y="csY3"/>
              </a:cxn>
              <a:cxn ang="0">
                <a:pos x="csX4" y="csY4"/>
              </a:cxn>
              <a:cxn ang="0">
                <a:pos x="csX5" y="csY5"/>
              </a:cxn>
              <a:cxn ang="0">
                <a:pos x="csX6" y="csY6"/>
              </a:cxn>
              <a:cxn ang="0">
                <a:pos x="csX7" y="csY7"/>
              </a:cxn>
              <a:cxn ang="0">
                <a:pos x="csX8" y="csY8"/>
              </a:cxn>
            </a:cxnLst>
            <a:rect l="l" t="t" r="r" b="b"/>
            <a:pathLst>
              <a:path w="165203" h="108414" extrusionOk="0">
                <a:moveTo>
                  <a:pt x="0" y="24616"/>
                </a:moveTo>
                <a:cubicBezTo>
                  <a:pt x="-2513" y="11128"/>
                  <a:pt x="13345" y="2285"/>
                  <a:pt x="24616" y="0"/>
                </a:cubicBezTo>
                <a:cubicBezTo>
                  <a:pt x="73496" y="-3167"/>
                  <a:pt x="114143" y="2525"/>
                  <a:pt x="140587" y="0"/>
                </a:cubicBezTo>
                <a:cubicBezTo>
                  <a:pt x="156800" y="344"/>
                  <a:pt x="167316" y="9690"/>
                  <a:pt x="165203" y="24616"/>
                </a:cubicBezTo>
                <a:cubicBezTo>
                  <a:pt x="162441" y="39647"/>
                  <a:pt x="162426" y="60067"/>
                  <a:pt x="165203" y="83798"/>
                </a:cubicBezTo>
                <a:cubicBezTo>
                  <a:pt x="166142" y="99035"/>
                  <a:pt x="154404" y="110450"/>
                  <a:pt x="140587" y="108414"/>
                </a:cubicBezTo>
                <a:cubicBezTo>
                  <a:pt x="102374" y="103535"/>
                  <a:pt x="52422" y="112853"/>
                  <a:pt x="24616" y="108414"/>
                </a:cubicBezTo>
                <a:cubicBezTo>
                  <a:pt x="11554" y="108092"/>
                  <a:pt x="-1250" y="94459"/>
                  <a:pt x="0" y="83798"/>
                </a:cubicBezTo>
                <a:cubicBezTo>
                  <a:pt x="-2698" y="64962"/>
                  <a:pt x="601" y="45426"/>
                  <a:pt x="0" y="24616"/>
                </a:cubicBezTo>
                <a:close/>
              </a:path>
            </a:pathLst>
          </a:custGeom>
          <a:noFill/>
          <a:ln w="9525">
            <a:solidFill>
              <a:schemeClr val="bg1">
                <a:lumMod val="85000"/>
              </a:schemeClr>
            </a:solidFill>
            <a:extLst>
              <a:ext uri="{C807C97D-BFC1-408E-A445-0C87EB9F89A2}">
                <ask:lineSketchStyleProps xmlns:ask="http://schemas.microsoft.com/office/drawing/2018/sketchyshapes" sd="2650216993">
                  <a:prstGeom prst="roundRect">
                    <a:avLst>
                      <a:gd name="adj" fmla="val 22706"/>
                    </a:avLst>
                  </a:prstGeom>
                  <ask:type>
                    <ask:lineSketchFreehand/>
                  </ask:type>
                </ask:lineSketchStyleProps>
              </a:ext>
            </a:extLst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35" name="Rounded Rectangle 34">
            <a:extLst>
              <a:ext uri="{FF2B5EF4-FFF2-40B4-BE49-F238E27FC236}">
                <a16:creationId xmlns:a16="http://schemas.microsoft.com/office/drawing/2014/main" id="{097715AF-F786-B53F-970C-1288F822F94E}"/>
              </a:ext>
            </a:extLst>
          </xdr:cNvPr>
          <xdr:cNvSpPr/>
        </xdr:nvSpPr>
        <xdr:spPr>
          <a:xfrm>
            <a:off x="15261645" y="1872170"/>
            <a:ext cx="165203" cy="108414"/>
          </a:xfrm>
          <a:custGeom>
            <a:avLst/>
            <a:gdLst>
              <a:gd name="csX0" fmla="*/ 0 w 165203"/>
              <a:gd name="csY0" fmla="*/ 24616 h 108414"/>
              <a:gd name="csX1" fmla="*/ 24616 w 165203"/>
              <a:gd name="csY1" fmla="*/ 0 h 108414"/>
              <a:gd name="csX2" fmla="*/ 140587 w 165203"/>
              <a:gd name="csY2" fmla="*/ 0 h 108414"/>
              <a:gd name="csX3" fmla="*/ 165203 w 165203"/>
              <a:gd name="csY3" fmla="*/ 24616 h 108414"/>
              <a:gd name="csX4" fmla="*/ 165203 w 165203"/>
              <a:gd name="csY4" fmla="*/ 83798 h 108414"/>
              <a:gd name="csX5" fmla="*/ 140587 w 165203"/>
              <a:gd name="csY5" fmla="*/ 108414 h 108414"/>
              <a:gd name="csX6" fmla="*/ 24616 w 165203"/>
              <a:gd name="csY6" fmla="*/ 108414 h 108414"/>
              <a:gd name="csX7" fmla="*/ 0 w 165203"/>
              <a:gd name="csY7" fmla="*/ 83798 h 108414"/>
              <a:gd name="csX8" fmla="*/ 0 w 165203"/>
              <a:gd name="csY8" fmla="*/ 24616 h 108414"/>
            </a:gdLst>
            <a:ahLst/>
            <a:cxnLst>
              <a:cxn ang="0">
                <a:pos x="csX0" y="csY0"/>
              </a:cxn>
              <a:cxn ang="0">
                <a:pos x="csX1" y="csY1"/>
              </a:cxn>
              <a:cxn ang="0">
                <a:pos x="csX2" y="csY2"/>
              </a:cxn>
              <a:cxn ang="0">
                <a:pos x="csX3" y="csY3"/>
              </a:cxn>
              <a:cxn ang="0">
                <a:pos x="csX4" y="csY4"/>
              </a:cxn>
              <a:cxn ang="0">
                <a:pos x="csX5" y="csY5"/>
              </a:cxn>
              <a:cxn ang="0">
                <a:pos x="csX6" y="csY6"/>
              </a:cxn>
              <a:cxn ang="0">
                <a:pos x="csX7" y="csY7"/>
              </a:cxn>
              <a:cxn ang="0">
                <a:pos x="csX8" y="csY8"/>
              </a:cxn>
            </a:cxnLst>
            <a:rect l="l" t="t" r="r" b="b"/>
            <a:pathLst>
              <a:path w="165203" h="108414" extrusionOk="0">
                <a:moveTo>
                  <a:pt x="0" y="24616"/>
                </a:moveTo>
                <a:cubicBezTo>
                  <a:pt x="-2513" y="11128"/>
                  <a:pt x="13345" y="2285"/>
                  <a:pt x="24616" y="0"/>
                </a:cubicBezTo>
                <a:cubicBezTo>
                  <a:pt x="73496" y="-3167"/>
                  <a:pt x="114143" y="2525"/>
                  <a:pt x="140587" y="0"/>
                </a:cubicBezTo>
                <a:cubicBezTo>
                  <a:pt x="156800" y="344"/>
                  <a:pt x="167316" y="9690"/>
                  <a:pt x="165203" y="24616"/>
                </a:cubicBezTo>
                <a:cubicBezTo>
                  <a:pt x="162441" y="39647"/>
                  <a:pt x="162426" y="60067"/>
                  <a:pt x="165203" y="83798"/>
                </a:cubicBezTo>
                <a:cubicBezTo>
                  <a:pt x="166142" y="99035"/>
                  <a:pt x="154404" y="110450"/>
                  <a:pt x="140587" y="108414"/>
                </a:cubicBezTo>
                <a:cubicBezTo>
                  <a:pt x="102374" y="103535"/>
                  <a:pt x="52422" y="112853"/>
                  <a:pt x="24616" y="108414"/>
                </a:cubicBezTo>
                <a:cubicBezTo>
                  <a:pt x="11554" y="108092"/>
                  <a:pt x="-1250" y="94459"/>
                  <a:pt x="0" y="83798"/>
                </a:cubicBezTo>
                <a:cubicBezTo>
                  <a:pt x="-2698" y="64962"/>
                  <a:pt x="601" y="45426"/>
                  <a:pt x="0" y="24616"/>
                </a:cubicBezTo>
                <a:close/>
              </a:path>
            </a:pathLst>
          </a:custGeom>
          <a:noFill/>
          <a:ln w="9525">
            <a:solidFill>
              <a:schemeClr val="bg1">
                <a:lumMod val="85000"/>
              </a:schemeClr>
            </a:solidFill>
            <a:extLst>
              <a:ext uri="{C807C97D-BFC1-408E-A445-0C87EB9F89A2}">
                <ask:lineSketchStyleProps xmlns:ask="http://schemas.microsoft.com/office/drawing/2018/sketchyshapes" sd="2650216993">
                  <a:prstGeom prst="roundRect">
                    <a:avLst>
                      <a:gd name="adj" fmla="val 22706"/>
                    </a:avLst>
                  </a:prstGeom>
                  <ask:type>
                    <ask:lineSketchFreehand/>
                  </ask:type>
                </ask:lineSketchStyleProps>
              </a:ext>
            </a:extLst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36" name="Rounded Rectangle 35">
            <a:extLst>
              <a:ext uri="{FF2B5EF4-FFF2-40B4-BE49-F238E27FC236}">
                <a16:creationId xmlns:a16="http://schemas.microsoft.com/office/drawing/2014/main" id="{F58724F1-558E-926E-04C7-BB8CB6D93451}"/>
              </a:ext>
            </a:extLst>
          </xdr:cNvPr>
          <xdr:cNvSpPr/>
        </xdr:nvSpPr>
        <xdr:spPr>
          <a:xfrm>
            <a:off x="15252097" y="2079694"/>
            <a:ext cx="165203" cy="108414"/>
          </a:xfrm>
          <a:custGeom>
            <a:avLst/>
            <a:gdLst>
              <a:gd name="csX0" fmla="*/ 0 w 165203"/>
              <a:gd name="csY0" fmla="*/ 24616 h 108414"/>
              <a:gd name="csX1" fmla="*/ 24616 w 165203"/>
              <a:gd name="csY1" fmla="*/ 0 h 108414"/>
              <a:gd name="csX2" fmla="*/ 140587 w 165203"/>
              <a:gd name="csY2" fmla="*/ 0 h 108414"/>
              <a:gd name="csX3" fmla="*/ 165203 w 165203"/>
              <a:gd name="csY3" fmla="*/ 24616 h 108414"/>
              <a:gd name="csX4" fmla="*/ 165203 w 165203"/>
              <a:gd name="csY4" fmla="*/ 83798 h 108414"/>
              <a:gd name="csX5" fmla="*/ 140587 w 165203"/>
              <a:gd name="csY5" fmla="*/ 108414 h 108414"/>
              <a:gd name="csX6" fmla="*/ 24616 w 165203"/>
              <a:gd name="csY6" fmla="*/ 108414 h 108414"/>
              <a:gd name="csX7" fmla="*/ 0 w 165203"/>
              <a:gd name="csY7" fmla="*/ 83798 h 108414"/>
              <a:gd name="csX8" fmla="*/ 0 w 165203"/>
              <a:gd name="csY8" fmla="*/ 24616 h 108414"/>
            </a:gdLst>
            <a:ahLst/>
            <a:cxnLst>
              <a:cxn ang="0">
                <a:pos x="csX0" y="csY0"/>
              </a:cxn>
              <a:cxn ang="0">
                <a:pos x="csX1" y="csY1"/>
              </a:cxn>
              <a:cxn ang="0">
                <a:pos x="csX2" y="csY2"/>
              </a:cxn>
              <a:cxn ang="0">
                <a:pos x="csX3" y="csY3"/>
              </a:cxn>
              <a:cxn ang="0">
                <a:pos x="csX4" y="csY4"/>
              </a:cxn>
              <a:cxn ang="0">
                <a:pos x="csX5" y="csY5"/>
              </a:cxn>
              <a:cxn ang="0">
                <a:pos x="csX6" y="csY6"/>
              </a:cxn>
              <a:cxn ang="0">
                <a:pos x="csX7" y="csY7"/>
              </a:cxn>
              <a:cxn ang="0">
                <a:pos x="csX8" y="csY8"/>
              </a:cxn>
            </a:cxnLst>
            <a:rect l="l" t="t" r="r" b="b"/>
            <a:pathLst>
              <a:path w="165203" h="108414" extrusionOk="0">
                <a:moveTo>
                  <a:pt x="0" y="24616"/>
                </a:moveTo>
                <a:cubicBezTo>
                  <a:pt x="-2513" y="11128"/>
                  <a:pt x="13345" y="2285"/>
                  <a:pt x="24616" y="0"/>
                </a:cubicBezTo>
                <a:cubicBezTo>
                  <a:pt x="73496" y="-3167"/>
                  <a:pt x="114143" y="2525"/>
                  <a:pt x="140587" y="0"/>
                </a:cubicBezTo>
                <a:cubicBezTo>
                  <a:pt x="156800" y="344"/>
                  <a:pt x="167316" y="9690"/>
                  <a:pt x="165203" y="24616"/>
                </a:cubicBezTo>
                <a:cubicBezTo>
                  <a:pt x="162441" y="39647"/>
                  <a:pt x="162426" y="60067"/>
                  <a:pt x="165203" y="83798"/>
                </a:cubicBezTo>
                <a:cubicBezTo>
                  <a:pt x="166142" y="99035"/>
                  <a:pt x="154404" y="110450"/>
                  <a:pt x="140587" y="108414"/>
                </a:cubicBezTo>
                <a:cubicBezTo>
                  <a:pt x="102374" y="103535"/>
                  <a:pt x="52422" y="112853"/>
                  <a:pt x="24616" y="108414"/>
                </a:cubicBezTo>
                <a:cubicBezTo>
                  <a:pt x="11554" y="108092"/>
                  <a:pt x="-1250" y="94459"/>
                  <a:pt x="0" y="83798"/>
                </a:cubicBezTo>
                <a:cubicBezTo>
                  <a:pt x="-2698" y="64962"/>
                  <a:pt x="601" y="45426"/>
                  <a:pt x="0" y="24616"/>
                </a:cubicBezTo>
                <a:close/>
              </a:path>
            </a:pathLst>
          </a:custGeom>
          <a:noFill/>
          <a:ln w="9525">
            <a:solidFill>
              <a:schemeClr val="bg1">
                <a:lumMod val="85000"/>
              </a:schemeClr>
            </a:solidFill>
            <a:extLst>
              <a:ext uri="{C807C97D-BFC1-408E-A445-0C87EB9F89A2}">
                <ask:lineSketchStyleProps xmlns:ask="http://schemas.microsoft.com/office/drawing/2018/sketchyshapes" sd="2650216993">
                  <a:prstGeom prst="roundRect">
                    <a:avLst>
                      <a:gd name="adj" fmla="val 22706"/>
                    </a:avLst>
                  </a:prstGeom>
                  <ask:type>
                    <ask:lineSketchFreehand/>
                  </ask:type>
                </ask:lineSketchStyleProps>
              </a:ext>
            </a:extLst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37" name="Rounded Rectangle 36">
            <a:extLst>
              <a:ext uri="{FF2B5EF4-FFF2-40B4-BE49-F238E27FC236}">
                <a16:creationId xmlns:a16="http://schemas.microsoft.com/office/drawing/2014/main" id="{B2DCB74F-CE0A-B8D4-2F27-F7052FE1A59F}"/>
              </a:ext>
            </a:extLst>
          </xdr:cNvPr>
          <xdr:cNvSpPr/>
        </xdr:nvSpPr>
        <xdr:spPr>
          <a:xfrm>
            <a:off x="15254075" y="2283729"/>
            <a:ext cx="165203" cy="108414"/>
          </a:xfrm>
          <a:custGeom>
            <a:avLst/>
            <a:gdLst>
              <a:gd name="csX0" fmla="*/ 0 w 165203"/>
              <a:gd name="csY0" fmla="*/ 24616 h 108414"/>
              <a:gd name="csX1" fmla="*/ 24616 w 165203"/>
              <a:gd name="csY1" fmla="*/ 0 h 108414"/>
              <a:gd name="csX2" fmla="*/ 140587 w 165203"/>
              <a:gd name="csY2" fmla="*/ 0 h 108414"/>
              <a:gd name="csX3" fmla="*/ 165203 w 165203"/>
              <a:gd name="csY3" fmla="*/ 24616 h 108414"/>
              <a:gd name="csX4" fmla="*/ 165203 w 165203"/>
              <a:gd name="csY4" fmla="*/ 83798 h 108414"/>
              <a:gd name="csX5" fmla="*/ 140587 w 165203"/>
              <a:gd name="csY5" fmla="*/ 108414 h 108414"/>
              <a:gd name="csX6" fmla="*/ 24616 w 165203"/>
              <a:gd name="csY6" fmla="*/ 108414 h 108414"/>
              <a:gd name="csX7" fmla="*/ 0 w 165203"/>
              <a:gd name="csY7" fmla="*/ 83798 h 108414"/>
              <a:gd name="csX8" fmla="*/ 0 w 165203"/>
              <a:gd name="csY8" fmla="*/ 24616 h 108414"/>
            </a:gdLst>
            <a:ahLst/>
            <a:cxnLst>
              <a:cxn ang="0">
                <a:pos x="csX0" y="csY0"/>
              </a:cxn>
              <a:cxn ang="0">
                <a:pos x="csX1" y="csY1"/>
              </a:cxn>
              <a:cxn ang="0">
                <a:pos x="csX2" y="csY2"/>
              </a:cxn>
              <a:cxn ang="0">
                <a:pos x="csX3" y="csY3"/>
              </a:cxn>
              <a:cxn ang="0">
                <a:pos x="csX4" y="csY4"/>
              </a:cxn>
              <a:cxn ang="0">
                <a:pos x="csX5" y="csY5"/>
              </a:cxn>
              <a:cxn ang="0">
                <a:pos x="csX6" y="csY6"/>
              </a:cxn>
              <a:cxn ang="0">
                <a:pos x="csX7" y="csY7"/>
              </a:cxn>
              <a:cxn ang="0">
                <a:pos x="csX8" y="csY8"/>
              </a:cxn>
            </a:cxnLst>
            <a:rect l="l" t="t" r="r" b="b"/>
            <a:pathLst>
              <a:path w="165203" h="108414" extrusionOk="0">
                <a:moveTo>
                  <a:pt x="0" y="24616"/>
                </a:moveTo>
                <a:cubicBezTo>
                  <a:pt x="-2513" y="11128"/>
                  <a:pt x="13345" y="2285"/>
                  <a:pt x="24616" y="0"/>
                </a:cubicBezTo>
                <a:cubicBezTo>
                  <a:pt x="73496" y="-3167"/>
                  <a:pt x="114143" y="2525"/>
                  <a:pt x="140587" y="0"/>
                </a:cubicBezTo>
                <a:cubicBezTo>
                  <a:pt x="156800" y="344"/>
                  <a:pt x="167316" y="9690"/>
                  <a:pt x="165203" y="24616"/>
                </a:cubicBezTo>
                <a:cubicBezTo>
                  <a:pt x="162441" y="39647"/>
                  <a:pt x="162426" y="60067"/>
                  <a:pt x="165203" y="83798"/>
                </a:cubicBezTo>
                <a:cubicBezTo>
                  <a:pt x="166142" y="99035"/>
                  <a:pt x="154404" y="110450"/>
                  <a:pt x="140587" y="108414"/>
                </a:cubicBezTo>
                <a:cubicBezTo>
                  <a:pt x="102374" y="103535"/>
                  <a:pt x="52422" y="112853"/>
                  <a:pt x="24616" y="108414"/>
                </a:cubicBezTo>
                <a:cubicBezTo>
                  <a:pt x="11554" y="108092"/>
                  <a:pt x="-1250" y="94459"/>
                  <a:pt x="0" y="83798"/>
                </a:cubicBezTo>
                <a:cubicBezTo>
                  <a:pt x="-2698" y="64962"/>
                  <a:pt x="601" y="45426"/>
                  <a:pt x="0" y="24616"/>
                </a:cubicBezTo>
                <a:close/>
              </a:path>
            </a:pathLst>
          </a:custGeom>
          <a:noFill/>
          <a:ln w="9525">
            <a:solidFill>
              <a:schemeClr val="bg1">
                <a:lumMod val="85000"/>
              </a:schemeClr>
            </a:solidFill>
            <a:extLst>
              <a:ext uri="{C807C97D-BFC1-408E-A445-0C87EB9F89A2}">
                <ask:lineSketchStyleProps xmlns:ask="http://schemas.microsoft.com/office/drawing/2018/sketchyshapes" sd="2650216993">
                  <a:prstGeom prst="roundRect">
                    <a:avLst>
                      <a:gd name="adj" fmla="val 22706"/>
                    </a:avLst>
                  </a:prstGeom>
                  <ask:type>
                    <ask:lineSketchFreehand/>
                  </ask:type>
                </ask:lineSketchStyleProps>
              </a:ext>
            </a:extLst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38" name="Rounded Rectangle 37">
            <a:extLst>
              <a:ext uri="{FF2B5EF4-FFF2-40B4-BE49-F238E27FC236}">
                <a16:creationId xmlns:a16="http://schemas.microsoft.com/office/drawing/2014/main" id="{0E49E67B-F6BB-2134-301B-1B44F680A6F6}"/>
              </a:ext>
            </a:extLst>
          </xdr:cNvPr>
          <xdr:cNvSpPr/>
        </xdr:nvSpPr>
        <xdr:spPr>
          <a:xfrm>
            <a:off x="15252635" y="2480748"/>
            <a:ext cx="165203" cy="108414"/>
          </a:xfrm>
          <a:custGeom>
            <a:avLst/>
            <a:gdLst>
              <a:gd name="csX0" fmla="*/ 0 w 165203"/>
              <a:gd name="csY0" fmla="*/ 24616 h 108414"/>
              <a:gd name="csX1" fmla="*/ 24616 w 165203"/>
              <a:gd name="csY1" fmla="*/ 0 h 108414"/>
              <a:gd name="csX2" fmla="*/ 140587 w 165203"/>
              <a:gd name="csY2" fmla="*/ 0 h 108414"/>
              <a:gd name="csX3" fmla="*/ 165203 w 165203"/>
              <a:gd name="csY3" fmla="*/ 24616 h 108414"/>
              <a:gd name="csX4" fmla="*/ 165203 w 165203"/>
              <a:gd name="csY4" fmla="*/ 83798 h 108414"/>
              <a:gd name="csX5" fmla="*/ 140587 w 165203"/>
              <a:gd name="csY5" fmla="*/ 108414 h 108414"/>
              <a:gd name="csX6" fmla="*/ 24616 w 165203"/>
              <a:gd name="csY6" fmla="*/ 108414 h 108414"/>
              <a:gd name="csX7" fmla="*/ 0 w 165203"/>
              <a:gd name="csY7" fmla="*/ 83798 h 108414"/>
              <a:gd name="csX8" fmla="*/ 0 w 165203"/>
              <a:gd name="csY8" fmla="*/ 24616 h 108414"/>
            </a:gdLst>
            <a:ahLst/>
            <a:cxnLst>
              <a:cxn ang="0">
                <a:pos x="csX0" y="csY0"/>
              </a:cxn>
              <a:cxn ang="0">
                <a:pos x="csX1" y="csY1"/>
              </a:cxn>
              <a:cxn ang="0">
                <a:pos x="csX2" y="csY2"/>
              </a:cxn>
              <a:cxn ang="0">
                <a:pos x="csX3" y="csY3"/>
              </a:cxn>
              <a:cxn ang="0">
                <a:pos x="csX4" y="csY4"/>
              </a:cxn>
              <a:cxn ang="0">
                <a:pos x="csX5" y="csY5"/>
              </a:cxn>
              <a:cxn ang="0">
                <a:pos x="csX6" y="csY6"/>
              </a:cxn>
              <a:cxn ang="0">
                <a:pos x="csX7" y="csY7"/>
              </a:cxn>
              <a:cxn ang="0">
                <a:pos x="csX8" y="csY8"/>
              </a:cxn>
            </a:cxnLst>
            <a:rect l="l" t="t" r="r" b="b"/>
            <a:pathLst>
              <a:path w="165203" h="108414" extrusionOk="0">
                <a:moveTo>
                  <a:pt x="0" y="24616"/>
                </a:moveTo>
                <a:cubicBezTo>
                  <a:pt x="-2513" y="11128"/>
                  <a:pt x="13345" y="2285"/>
                  <a:pt x="24616" y="0"/>
                </a:cubicBezTo>
                <a:cubicBezTo>
                  <a:pt x="73496" y="-3167"/>
                  <a:pt x="114143" y="2525"/>
                  <a:pt x="140587" y="0"/>
                </a:cubicBezTo>
                <a:cubicBezTo>
                  <a:pt x="156800" y="344"/>
                  <a:pt x="167316" y="9690"/>
                  <a:pt x="165203" y="24616"/>
                </a:cubicBezTo>
                <a:cubicBezTo>
                  <a:pt x="162441" y="39647"/>
                  <a:pt x="162426" y="60067"/>
                  <a:pt x="165203" y="83798"/>
                </a:cubicBezTo>
                <a:cubicBezTo>
                  <a:pt x="166142" y="99035"/>
                  <a:pt x="154404" y="110450"/>
                  <a:pt x="140587" y="108414"/>
                </a:cubicBezTo>
                <a:cubicBezTo>
                  <a:pt x="102374" y="103535"/>
                  <a:pt x="52422" y="112853"/>
                  <a:pt x="24616" y="108414"/>
                </a:cubicBezTo>
                <a:cubicBezTo>
                  <a:pt x="11554" y="108092"/>
                  <a:pt x="-1250" y="94459"/>
                  <a:pt x="0" y="83798"/>
                </a:cubicBezTo>
                <a:cubicBezTo>
                  <a:pt x="-2698" y="64962"/>
                  <a:pt x="601" y="45426"/>
                  <a:pt x="0" y="24616"/>
                </a:cubicBezTo>
                <a:close/>
              </a:path>
            </a:pathLst>
          </a:custGeom>
          <a:noFill/>
          <a:ln w="9525">
            <a:solidFill>
              <a:schemeClr val="bg1">
                <a:lumMod val="85000"/>
              </a:schemeClr>
            </a:solidFill>
            <a:extLst>
              <a:ext uri="{C807C97D-BFC1-408E-A445-0C87EB9F89A2}">
                <ask:lineSketchStyleProps xmlns:ask="http://schemas.microsoft.com/office/drawing/2018/sketchyshapes" sd="2650216993">
                  <a:prstGeom prst="roundRect">
                    <a:avLst>
                      <a:gd name="adj" fmla="val 22706"/>
                    </a:avLst>
                  </a:prstGeom>
                  <ask:type>
                    <ask:lineSketchFreehand/>
                  </ask:type>
                </ask:lineSketchStyleProps>
              </a:ext>
            </a:extLst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39" name="Rounded Rectangle 38">
            <a:extLst>
              <a:ext uri="{FF2B5EF4-FFF2-40B4-BE49-F238E27FC236}">
                <a16:creationId xmlns:a16="http://schemas.microsoft.com/office/drawing/2014/main" id="{33289DF9-D839-2423-9BC9-B54C199D3F68}"/>
              </a:ext>
            </a:extLst>
          </xdr:cNvPr>
          <xdr:cNvSpPr/>
        </xdr:nvSpPr>
        <xdr:spPr>
          <a:xfrm>
            <a:off x="15254739" y="2688272"/>
            <a:ext cx="165203" cy="108414"/>
          </a:xfrm>
          <a:custGeom>
            <a:avLst/>
            <a:gdLst>
              <a:gd name="csX0" fmla="*/ 0 w 165203"/>
              <a:gd name="csY0" fmla="*/ 24616 h 108414"/>
              <a:gd name="csX1" fmla="*/ 24616 w 165203"/>
              <a:gd name="csY1" fmla="*/ 0 h 108414"/>
              <a:gd name="csX2" fmla="*/ 140587 w 165203"/>
              <a:gd name="csY2" fmla="*/ 0 h 108414"/>
              <a:gd name="csX3" fmla="*/ 165203 w 165203"/>
              <a:gd name="csY3" fmla="*/ 24616 h 108414"/>
              <a:gd name="csX4" fmla="*/ 165203 w 165203"/>
              <a:gd name="csY4" fmla="*/ 83798 h 108414"/>
              <a:gd name="csX5" fmla="*/ 140587 w 165203"/>
              <a:gd name="csY5" fmla="*/ 108414 h 108414"/>
              <a:gd name="csX6" fmla="*/ 24616 w 165203"/>
              <a:gd name="csY6" fmla="*/ 108414 h 108414"/>
              <a:gd name="csX7" fmla="*/ 0 w 165203"/>
              <a:gd name="csY7" fmla="*/ 83798 h 108414"/>
              <a:gd name="csX8" fmla="*/ 0 w 165203"/>
              <a:gd name="csY8" fmla="*/ 24616 h 108414"/>
            </a:gdLst>
            <a:ahLst/>
            <a:cxnLst>
              <a:cxn ang="0">
                <a:pos x="csX0" y="csY0"/>
              </a:cxn>
              <a:cxn ang="0">
                <a:pos x="csX1" y="csY1"/>
              </a:cxn>
              <a:cxn ang="0">
                <a:pos x="csX2" y="csY2"/>
              </a:cxn>
              <a:cxn ang="0">
                <a:pos x="csX3" y="csY3"/>
              </a:cxn>
              <a:cxn ang="0">
                <a:pos x="csX4" y="csY4"/>
              </a:cxn>
              <a:cxn ang="0">
                <a:pos x="csX5" y="csY5"/>
              </a:cxn>
              <a:cxn ang="0">
                <a:pos x="csX6" y="csY6"/>
              </a:cxn>
              <a:cxn ang="0">
                <a:pos x="csX7" y="csY7"/>
              </a:cxn>
              <a:cxn ang="0">
                <a:pos x="csX8" y="csY8"/>
              </a:cxn>
            </a:cxnLst>
            <a:rect l="l" t="t" r="r" b="b"/>
            <a:pathLst>
              <a:path w="165203" h="108414" extrusionOk="0">
                <a:moveTo>
                  <a:pt x="0" y="24616"/>
                </a:moveTo>
                <a:cubicBezTo>
                  <a:pt x="-2513" y="11128"/>
                  <a:pt x="13345" y="2285"/>
                  <a:pt x="24616" y="0"/>
                </a:cubicBezTo>
                <a:cubicBezTo>
                  <a:pt x="73496" y="-3167"/>
                  <a:pt x="114143" y="2525"/>
                  <a:pt x="140587" y="0"/>
                </a:cubicBezTo>
                <a:cubicBezTo>
                  <a:pt x="156800" y="344"/>
                  <a:pt x="167316" y="9690"/>
                  <a:pt x="165203" y="24616"/>
                </a:cubicBezTo>
                <a:cubicBezTo>
                  <a:pt x="162441" y="39647"/>
                  <a:pt x="162426" y="60067"/>
                  <a:pt x="165203" y="83798"/>
                </a:cubicBezTo>
                <a:cubicBezTo>
                  <a:pt x="166142" y="99035"/>
                  <a:pt x="154404" y="110450"/>
                  <a:pt x="140587" y="108414"/>
                </a:cubicBezTo>
                <a:cubicBezTo>
                  <a:pt x="102374" y="103535"/>
                  <a:pt x="52422" y="112853"/>
                  <a:pt x="24616" y="108414"/>
                </a:cubicBezTo>
                <a:cubicBezTo>
                  <a:pt x="11554" y="108092"/>
                  <a:pt x="-1250" y="94459"/>
                  <a:pt x="0" y="83798"/>
                </a:cubicBezTo>
                <a:cubicBezTo>
                  <a:pt x="-2698" y="64962"/>
                  <a:pt x="601" y="45426"/>
                  <a:pt x="0" y="24616"/>
                </a:cubicBezTo>
                <a:close/>
              </a:path>
            </a:pathLst>
          </a:custGeom>
          <a:noFill/>
          <a:ln w="9525">
            <a:solidFill>
              <a:schemeClr val="bg1">
                <a:lumMod val="85000"/>
              </a:schemeClr>
            </a:solidFill>
            <a:extLst>
              <a:ext uri="{C807C97D-BFC1-408E-A445-0C87EB9F89A2}">
                <ask:lineSketchStyleProps xmlns:ask="http://schemas.microsoft.com/office/drawing/2018/sketchyshapes" sd="2650216993">
                  <a:prstGeom prst="roundRect">
                    <a:avLst>
                      <a:gd name="adj" fmla="val 22706"/>
                    </a:avLst>
                  </a:prstGeom>
                  <ask:type>
                    <ask:lineSketchFreehand/>
                  </ask:type>
                </ask:lineSketchStyleProps>
              </a:ext>
            </a:extLst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40" name="Rounded Rectangle 39">
            <a:extLst>
              <a:ext uri="{FF2B5EF4-FFF2-40B4-BE49-F238E27FC236}">
                <a16:creationId xmlns:a16="http://schemas.microsoft.com/office/drawing/2014/main" id="{19062D56-04A8-A138-9373-F30A492537EF}"/>
              </a:ext>
            </a:extLst>
          </xdr:cNvPr>
          <xdr:cNvSpPr/>
        </xdr:nvSpPr>
        <xdr:spPr>
          <a:xfrm>
            <a:off x="15256876" y="2891189"/>
            <a:ext cx="165203" cy="108414"/>
          </a:xfrm>
          <a:custGeom>
            <a:avLst/>
            <a:gdLst>
              <a:gd name="csX0" fmla="*/ 0 w 165203"/>
              <a:gd name="csY0" fmla="*/ 24616 h 108414"/>
              <a:gd name="csX1" fmla="*/ 24616 w 165203"/>
              <a:gd name="csY1" fmla="*/ 0 h 108414"/>
              <a:gd name="csX2" fmla="*/ 140587 w 165203"/>
              <a:gd name="csY2" fmla="*/ 0 h 108414"/>
              <a:gd name="csX3" fmla="*/ 165203 w 165203"/>
              <a:gd name="csY3" fmla="*/ 24616 h 108414"/>
              <a:gd name="csX4" fmla="*/ 165203 w 165203"/>
              <a:gd name="csY4" fmla="*/ 83798 h 108414"/>
              <a:gd name="csX5" fmla="*/ 140587 w 165203"/>
              <a:gd name="csY5" fmla="*/ 108414 h 108414"/>
              <a:gd name="csX6" fmla="*/ 24616 w 165203"/>
              <a:gd name="csY6" fmla="*/ 108414 h 108414"/>
              <a:gd name="csX7" fmla="*/ 0 w 165203"/>
              <a:gd name="csY7" fmla="*/ 83798 h 108414"/>
              <a:gd name="csX8" fmla="*/ 0 w 165203"/>
              <a:gd name="csY8" fmla="*/ 24616 h 108414"/>
            </a:gdLst>
            <a:ahLst/>
            <a:cxnLst>
              <a:cxn ang="0">
                <a:pos x="csX0" y="csY0"/>
              </a:cxn>
              <a:cxn ang="0">
                <a:pos x="csX1" y="csY1"/>
              </a:cxn>
              <a:cxn ang="0">
                <a:pos x="csX2" y="csY2"/>
              </a:cxn>
              <a:cxn ang="0">
                <a:pos x="csX3" y="csY3"/>
              </a:cxn>
              <a:cxn ang="0">
                <a:pos x="csX4" y="csY4"/>
              </a:cxn>
              <a:cxn ang="0">
                <a:pos x="csX5" y="csY5"/>
              </a:cxn>
              <a:cxn ang="0">
                <a:pos x="csX6" y="csY6"/>
              </a:cxn>
              <a:cxn ang="0">
                <a:pos x="csX7" y="csY7"/>
              </a:cxn>
              <a:cxn ang="0">
                <a:pos x="csX8" y="csY8"/>
              </a:cxn>
            </a:cxnLst>
            <a:rect l="l" t="t" r="r" b="b"/>
            <a:pathLst>
              <a:path w="165203" h="108414" extrusionOk="0">
                <a:moveTo>
                  <a:pt x="0" y="24616"/>
                </a:moveTo>
                <a:cubicBezTo>
                  <a:pt x="-2513" y="11128"/>
                  <a:pt x="13345" y="2285"/>
                  <a:pt x="24616" y="0"/>
                </a:cubicBezTo>
                <a:cubicBezTo>
                  <a:pt x="73496" y="-3167"/>
                  <a:pt x="114143" y="2525"/>
                  <a:pt x="140587" y="0"/>
                </a:cubicBezTo>
                <a:cubicBezTo>
                  <a:pt x="156800" y="344"/>
                  <a:pt x="167316" y="9690"/>
                  <a:pt x="165203" y="24616"/>
                </a:cubicBezTo>
                <a:cubicBezTo>
                  <a:pt x="162441" y="39647"/>
                  <a:pt x="162426" y="60067"/>
                  <a:pt x="165203" y="83798"/>
                </a:cubicBezTo>
                <a:cubicBezTo>
                  <a:pt x="166142" y="99035"/>
                  <a:pt x="154404" y="110450"/>
                  <a:pt x="140587" y="108414"/>
                </a:cubicBezTo>
                <a:cubicBezTo>
                  <a:pt x="102374" y="103535"/>
                  <a:pt x="52422" y="112853"/>
                  <a:pt x="24616" y="108414"/>
                </a:cubicBezTo>
                <a:cubicBezTo>
                  <a:pt x="11554" y="108092"/>
                  <a:pt x="-1250" y="94459"/>
                  <a:pt x="0" y="83798"/>
                </a:cubicBezTo>
                <a:cubicBezTo>
                  <a:pt x="-2698" y="64962"/>
                  <a:pt x="601" y="45426"/>
                  <a:pt x="0" y="24616"/>
                </a:cubicBezTo>
                <a:close/>
              </a:path>
            </a:pathLst>
          </a:custGeom>
          <a:noFill/>
          <a:ln w="9525">
            <a:solidFill>
              <a:schemeClr val="bg1">
                <a:lumMod val="85000"/>
              </a:schemeClr>
            </a:solidFill>
            <a:extLst>
              <a:ext uri="{C807C97D-BFC1-408E-A445-0C87EB9F89A2}">
                <ask:lineSketchStyleProps xmlns:ask="http://schemas.microsoft.com/office/drawing/2018/sketchyshapes" sd="2650216993">
                  <a:prstGeom prst="roundRect">
                    <a:avLst>
                      <a:gd name="adj" fmla="val 22706"/>
                    </a:avLst>
                  </a:prstGeom>
                  <ask:type>
                    <ask:lineSketchFreehand/>
                  </ask:type>
                </ask:lineSketchStyleProps>
              </a:ext>
            </a:extLst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41" name="Rounded Rectangle 40">
            <a:extLst>
              <a:ext uri="{FF2B5EF4-FFF2-40B4-BE49-F238E27FC236}">
                <a16:creationId xmlns:a16="http://schemas.microsoft.com/office/drawing/2014/main" id="{B5069730-1D6A-357F-58E3-76A3345BEF35}"/>
              </a:ext>
            </a:extLst>
          </xdr:cNvPr>
          <xdr:cNvSpPr/>
        </xdr:nvSpPr>
        <xdr:spPr>
          <a:xfrm>
            <a:off x="15255436" y="3082382"/>
            <a:ext cx="165203" cy="108414"/>
          </a:xfrm>
          <a:custGeom>
            <a:avLst/>
            <a:gdLst>
              <a:gd name="csX0" fmla="*/ 0 w 165203"/>
              <a:gd name="csY0" fmla="*/ 24616 h 108414"/>
              <a:gd name="csX1" fmla="*/ 24616 w 165203"/>
              <a:gd name="csY1" fmla="*/ 0 h 108414"/>
              <a:gd name="csX2" fmla="*/ 140587 w 165203"/>
              <a:gd name="csY2" fmla="*/ 0 h 108414"/>
              <a:gd name="csX3" fmla="*/ 165203 w 165203"/>
              <a:gd name="csY3" fmla="*/ 24616 h 108414"/>
              <a:gd name="csX4" fmla="*/ 165203 w 165203"/>
              <a:gd name="csY4" fmla="*/ 83798 h 108414"/>
              <a:gd name="csX5" fmla="*/ 140587 w 165203"/>
              <a:gd name="csY5" fmla="*/ 108414 h 108414"/>
              <a:gd name="csX6" fmla="*/ 24616 w 165203"/>
              <a:gd name="csY6" fmla="*/ 108414 h 108414"/>
              <a:gd name="csX7" fmla="*/ 0 w 165203"/>
              <a:gd name="csY7" fmla="*/ 83798 h 108414"/>
              <a:gd name="csX8" fmla="*/ 0 w 165203"/>
              <a:gd name="csY8" fmla="*/ 24616 h 108414"/>
            </a:gdLst>
            <a:ahLst/>
            <a:cxnLst>
              <a:cxn ang="0">
                <a:pos x="csX0" y="csY0"/>
              </a:cxn>
              <a:cxn ang="0">
                <a:pos x="csX1" y="csY1"/>
              </a:cxn>
              <a:cxn ang="0">
                <a:pos x="csX2" y="csY2"/>
              </a:cxn>
              <a:cxn ang="0">
                <a:pos x="csX3" y="csY3"/>
              </a:cxn>
              <a:cxn ang="0">
                <a:pos x="csX4" y="csY4"/>
              </a:cxn>
              <a:cxn ang="0">
                <a:pos x="csX5" y="csY5"/>
              </a:cxn>
              <a:cxn ang="0">
                <a:pos x="csX6" y="csY6"/>
              </a:cxn>
              <a:cxn ang="0">
                <a:pos x="csX7" y="csY7"/>
              </a:cxn>
              <a:cxn ang="0">
                <a:pos x="csX8" y="csY8"/>
              </a:cxn>
            </a:cxnLst>
            <a:rect l="l" t="t" r="r" b="b"/>
            <a:pathLst>
              <a:path w="165203" h="108414" extrusionOk="0">
                <a:moveTo>
                  <a:pt x="0" y="24616"/>
                </a:moveTo>
                <a:cubicBezTo>
                  <a:pt x="-2513" y="11128"/>
                  <a:pt x="13345" y="2285"/>
                  <a:pt x="24616" y="0"/>
                </a:cubicBezTo>
                <a:cubicBezTo>
                  <a:pt x="73496" y="-3167"/>
                  <a:pt x="114143" y="2525"/>
                  <a:pt x="140587" y="0"/>
                </a:cubicBezTo>
                <a:cubicBezTo>
                  <a:pt x="156800" y="344"/>
                  <a:pt x="167316" y="9690"/>
                  <a:pt x="165203" y="24616"/>
                </a:cubicBezTo>
                <a:cubicBezTo>
                  <a:pt x="162441" y="39647"/>
                  <a:pt x="162426" y="60067"/>
                  <a:pt x="165203" y="83798"/>
                </a:cubicBezTo>
                <a:cubicBezTo>
                  <a:pt x="166142" y="99035"/>
                  <a:pt x="154404" y="110450"/>
                  <a:pt x="140587" y="108414"/>
                </a:cubicBezTo>
                <a:cubicBezTo>
                  <a:pt x="102374" y="103535"/>
                  <a:pt x="52422" y="112853"/>
                  <a:pt x="24616" y="108414"/>
                </a:cubicBezTo>
                <a:cubicBezTo>
                  <a:pt x="11554" y="108092"/>
                  <a:pt x="-1250" y="94459"/>
                  <a:pt x="0" y="83798"/>
                </a:cubicBezTo>
                <a:cubicBezTo>
                  <a:pt x="-2698" y="64962"/>
                  <a:pt x="601" y="45426"/>
                  <a:pt x="0" y="24616"/>
                </a:cubicBezTo>
                <a:close/>
              </a:path>
            </a:pathLst>
          </a:custGeom>
          <a:noFill/>
          <a:ln w="9525">
            <a:solidFill>
              <a:schemeClr val="bg1">
                <a:lumMod val="85000"/>
              </a:schemeClr>
            </a:solidFill>
            <a:extLst>
              <a:ext uri="{C807C97D-BFC1-408E-A445-0C87EB9F89A2}">
                <ask:lineSketchStyleProps xmlns:ask="http://schemas.microsoft.com/office/drawing/2018/sketchyshapes" sd="2650216993">
                  <a:prstGeom prst="roundRect">
                    <a:avLst>
                      <a:gd name="adj" fmla="val 22706"/>
                    </a:avLst>
                  </a:prstGeom>
                  <ask:type>
                    <ask:lineSketchFreehand/>
                  </ask:type>
                </ask:lineSketchStyleProps>
              </a:ext>
            </a:extLst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42" name="Rounded Rectangle 41">
            <a:extLst>
              <a:ext uri="{FF2B5EF4-FFF2-40B4-BE49-F238E27FC236}">
                <a16:creationId xmlns:a16="http://schemas.microsoft.com/office/drawing/2014/main" id="{90BC0012-E1AB-8B46-C4EC-21F2D8A1484A}"/>
              </a:ext>
            </a:extLst>
          </xdr:cNvPr>
          <xdr:cNvSpPr/>
        </xdr:nvSpPr>
        <xdr:spPr>
          <a:xfrm>
            <a:off x="15245888" y="3289907"/>
            <a:ext cx="165203" cy="108414"/>
          </a:xfrm>
          <a:custGeom>
            <a:avLst/>
            <a:gdLst>
              <a:gd name="csX0" fmla="*/ 0 w 165203"/>
              <a:gd name="csY0" fmla="*/ 24616 h 108414"/>
              <a:gd name="csX1" fmla="*/ 24616 w 165203"/>
              <a:gd name="csY1" fmla="*/ 0 h 108414"/>
              <a:gd name="csX2" fmla="*/ 140587 w 165203"/>
              <a:gd name="csY2" fmla="*/ 0 h 108414"/>
              <a:gd name="csX3" fmla="*/ 165203 w 165203"/>
              <a:gd name="csY3" fmla="*/ 24616 h 108414"/>
              <a:gd name="csX4" fmla="*/ 165203 w 165203"/>
              <a:gd name="csY4" fmla="*/ 83798 h 108414"/>
              <a:gd name="csX5" fmla="*/ 140587 w 165203"/>
              <a:gd name="csY5" fmla="*/ 108414 h 108414"/>
              <a:gd name="csX6" fmla="*/ 24616 w 165203"/>
              <a:gd name="csY6" fmla="*/ 108414 h 108414"/>
              <a:gd name="csX7" fmla="*/ 0 w 165203"/>
              <a:gd name="csY7" fmla="*/ 83798 h 108414"/>
              <a:gd name="csX8" fmla="*/ 0 w 165203"/>
              <a:gd name="csY8" fmla="*/ 24616 h 108414"/>
            </a:gdLst>
            <a:ahLst/>
            <a:cxnLst>
              <a:cxn ang="0">
                <a:pos x="csX0" y="csY0"/>
              </a:cxn>
              <a:cxn ang="0">
                <a:pos x="csX1" y="csY1"/>
              </a:cxn>
              <a:cxn ang="0">
                <a:pos x="csX2" y="csY2"/>
              </a:cxn>
              <a:cxn ang="0">
                <a:pos x="csX3" y="csY3"/>
              </a:cxn>
              <a:cxn ang="0">
                <a:pos x="csX4" y="csY4"/>
              </a:cxn>
              <a:cxn ang="0">
                <a:pos x="csX5" y="csY5"/>
              </a:cxn>
              <a:cxn ang="0">
                <a:pos x="csX6" y="csY6"/>
              </a:cxn>
              <a:cxn ang="0">
                <a:pos x="csX7" y="csY7"/>
              </a:cxn>
              <a:cxn ang="0">
                <a:pos x="csX8" y="csY8"/>
              </a:cxn>
            </a:cxnLst>
            <a:rect l="l" t="t" r="r" b="b"/>
            <a:pathLst>
              <a:path w="165203" h="108414" extrusionOk="0">
                <a:moveTo>
                  <a:pt x="0" y="24616"/>
                </a:moveTo>
                <a:cubicBezTo>
                  <a:pt x="-2513" y="11128"/>
                  <a:pt x="13345" y="2285"/>
                  <a:pt x="24616" y="0"/>
                </a:cubicBezTo>
                <a:cubicBezTo>
                  <a:pt x="73496" y="-3167"/>
                  <a:pt x="114143" y="2525"/>
                  <a:pt x="140587" y="0"/>
                </a:cubicBezTo>
                <a:cubicBezTo>
                  <a:pt x="156800" y="344"/>
                  <a:pt x="167316" y="9690"/>
                  <a:pt x="165203" y="24616"/>
                </a:cubicBezTo>
                <a:cubicBezTo>
                  <a:pt x="162441" y="39647"/>
                  <a:pt x="162426" y="60067"/>
                  <a:pt x="165203" y="83798"/>
                </a:cubicBezTo>
                <a:cubicBezTo>
                  <a:pt x="166142" y="99035"/>
                  <a:pt x="154404" y="110450"/>
                  <a:pt x="140587" y="108414"/>
                </a:cubicBezTo>
                <a:cubicBezTo>
                  <a:pt x="102374" y="103535"/>
                  <a:pt x="52422" y="112853"/>
                  <a:pt x="24616" y="108414"/>
                </a:cubicBezTo>
                <a:cubicBezTo>
                  <a:pt x="11554" y="108092"/>
                  <a:pt x="-1250" y="94459"/>
                  <a:pt x="0" y="83798"/>
                </a:cubicBezTo>
                <a:cubicBezTo>
                  <a:pt x="-2698" y="64962"/>
                  <a:pt x="601" y="45426"/>
                  <a:pt x="0" y="24616"/>
                </a:cubicBezTo>
                <a:close/>
              </a:path>
            </a:pathLst>
          </a:custGeom>
          <a:noFill/>
          <a:ln w="9525">
            <a:solidFill>
              <a:schemeClr val="bg1">
                <a:lumMod val="85000"/>
              </a:schemeClr>
            </a:solidFill>
            <a:extLst>
              <a:ext uri="{C807C97D-BFC1-408E-A445-0C87EB9F89A2}">
                <ask:lineSketchStyleProps xmlns:ask="http://schemas.microsoft.com/office/drawing/2018/sketchyshapes" sd="2650216993">
                  <a:prstGeom prst="roundRect">
                    <a:avLst>
                      <a:gd name="adj" fmla="val 22706"/>
                    </a:avLst>
                  </a:prstGeom>
                  <ask:type>
                    <ask:lineSketchFreehand/>
                  </ask:type>
                </ask:lineSketchStyleProps>
              </a:ext>
            </a:extLst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43" name="Rounded Rectangle 42">
            <a:extLst>
              <a:ext uri="{FF2B5EF4-FFF2-40B4-BE49-F238E27FC236}">
                <a16:creationId xmlns:a16="http://schemas.microsoft.com/office/drawing/2014/main" id="{AB7733F2-E364-9AAD-4E70-77EC33147172}"/>
              </a:ext>
            </a:extLst>
          </xdr:cNvPr>
          <xdr:cNvSpPr/>
        </xdr:nvSpPr>
        <xdr:spPr>
          <a:xfrm>
            <a:off x="16213225" y="1677991"/>
            <a:ext cx="165203" cy="108414"/>
          </a:xfrm>
          <a:custGeom>
            <a:avLst/>
            <a:gdLst>
              <a:gd name="csX0" fmla="*/ 0 w 165203"/>
              <a:gd name="csY0" fmla="*/ 24616 h 108414"/>
              <a:gd name="csX1" fmla="*/ 24616 w 165203"/>
              <a:gd name="csY1" fmla="*/ 0 h 108414"/>
              <a:gd name="csX2" fmla="*/ 140587 w 165203"/>
              <a:gd name="csY2" fmla="*/ 0 h 108414"/>
              <a:gd name="csX3" fmla="*/ 165203 w 165203"/>
              <a:gd name="csY3" fmla="*/ 24616 h 108414"/>
              <a:gd name="csX4" fmla="*/ 165203 w 165203"/>
              <a:gd name="csY4" fmla="*/ 83798 h 108414"/>
              <a:gd name="csX5" fmla="*/ 140587 w 165203"/>
              <a:gd name="csY5" fmla="*/ 108414 h 108414"/>
              <a:gd name="csX6" fmla="*/ 24616 w 165203"/>
              <a:gd name="csY6" fmla="*/ 108414 h 108414"/>
              <a:gd name="csX7" fmla="*/ 0 w 165203"/>
              <a:gd name="csY7" fmla="*/ 83798 h 108414"/>
              <a:gd name="csX8" fmla="*/ 0 w 165203"/>
              <a:gd name="csY8" fmla="*/ 24616 h 108414"/>
            </a:gdLst>
            <a:ahLst/>
            <a:cxnLst>
              <a:cxn ang="0">
                <a:pos x="csX0" y="csY0"/>
              </a:cxn>
              <a:cxn ang="0">
                <a:pos x="csX1" y="csY1"/>
              </a:cxn>
              <a:cxn ang="0">
                <a:pos x="csX2" y="csY2"/>
              </a:cxn>
              <a:cxn ang="0">
                <a:pos x="csX3" y="csY3"/>
              </a:cxn>
              <a:cxn ang="0">
                <a:pos x="csX4" y="csY4"/>
              </a:cxn>
              <a:cxn ang="0">
                <a:pos x="csX5" y="csY5"/>
              </a:cxn>
              <a:cxn ang="0">
                <a:pos x="csX6" y="csY6"/>
              </a:cxn>
              <a:cxn ang="0">
                <a:pos x="csX7" y="csY7"/>
              </a:cxn>
              <a:cxn ang="0">
                <a:pos x="csX8" y="csY8"/>
              </a:cxn>
            </a:cxnLst>
            <a:rect l="l" t="t" r="r" b="b"/>
            <a:pathLst>
              <a:path w="165203" h="108414" extrusionOk="0">
                <a:moveTo>
                  <a:pt x="0" y="24616"/>
                </a:moveTo>
                <a:cubicBezTo>
                  <a:pt x="-2513" y="11128"/>
                  <a:pt x="13345" y="2285"/>
                  <a:pt x="24616" y="0"/>
                </a:cubicBezTo>
                <a:cubicBezTo>
                  <a:pt x="73496" y="-3167"/>
                  <a:pt x="114143" y="2525"/>
                  <a:pt x="140587" y="0"/>
                </a:cubicBezTo>
                <a:cubicBezTo>
                  <a:pt x="156800" y="344"/>
                  <a:pt x="167316" y="9690"/>
                  <a:pt x="165203" y="24616"/>
                </a:cubicBezTo>
                <a:cubicBezTo>
                  <a:pt x="162441" y="39647"/>
                  <a:pt x="162426" y="60067"/>
                  <a:pt x="165203" y="83798"/>
                </a:cubicBezTo>
                <a:cubicBezTo>
                  <a:pt x="166142" y="99035"/>
                  <a:pt x="154404" y="110450"/>
                  <a:pt x="140587" y="108414"/>
                </a:cubicBezTo>
                <a:cubicBezTo>
                  <a:pt x="102374" y="103535"/>
                  <a:pt x="52422" y="112853"/>
                  <a:pt x="24616" y="108414"/>
                </a:cubicBezTo>
                <a:cubicBezTo>
                  <a:pt x="11554" y="108092"/>
                  <a:pt x="-1250" y="94459"/>
                  <a:pt x="0" y="83798"/>
                </a:cubicBezTo>
                <a:cubicBezTo>
                  <a:pt x="-2698" y="64962"/>
                  <a:pt x="601" y="45426"/>
                  <a:pt x="0" y="24616"/>
                </a:cubicBezTo>
                <a:close/>
              </a:path>
            </a:pathLst>
          </a:custGeom>
          <a:noFill/>
          <a:ln w="9525">
            <a:solidFill>
              <a:schemeClr val="bg1">
                <a:lumMod val="85000"/>
              </a:schemeClr>
            </a:solidFill>
            <a:extLst>
              <a:ext uri="{C807C97D-BFC1-408E-A445-0C87EB9F89A2}">
                <ask:lineSketchStyleProps xmlns:ask="http://schemas.microsoft.com/office/drawing/2018/sketchyshapes" sd="2650216993">
                  <a:prstGeom prst="roundRect">
                    <a:avLst>
                      <a:gd name="adj" fmla="val 22706"/>
                    </a:avLst>
                  </a:prstGeom>
                  <ask:type>
                    <ask:lineSketchFreehand/>
                  </ask:type>
                </ask:lineSketchStyleProps>
              </a:ext>
            </a:extLst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cxnSp macro="">
        <xdr:nvCxnSpPr>
          <xdr:cNvPr id="44" name="Straight Connector 43">
            <a:extLst>
              <a:ext uri="{FF2B5EF4-FFF2-40B4-BE49-F238E27FC236}">
                <a16:creationId xmlns:a16="http://schemas.microsoft.com/office/drawing/2014/main" id="{1E7AAC4C-AE6D-1833-E00F-C471C1F89EA0}"/>
              </a:ext>
            </a:extLst>
          </xdr:cNvPr>
          <xdr:cNvCxnSpPr/>
        </xdr:nvCxnSpPr>
        <xdr:spPr>
          <a:xfrm>
            <a:off x="17068970" y="2548362"/>
            <a:ext cx="377110" cy="7196"/>
          </a:xfrm>
          <a:prstGeom prst="line">
            <a:avLst/>
          </a:prstGeom>
          <a:ln w="9525">
            <a:solidFill>
              <a:schemeClr val="bg1">
                <a:lumMod val="85000"/>
              </a:schemeClr>
            </a:solidFill>
            <a:headEnd type="none" w="med" len="med"/>
            <a:tailEnd type="triangle" w="med" len="med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58</xdr:col>
      <xdr:colOff>4957</xdr:colOff>
      <xdr:row>8</xdr:row>
      <xdr:rowOff>99221</xdr:rowOff>
    </xdr:from>
    <xdr:to>
      <xdr:col>62</xdr:col>
      <xdr:colOff>29762</xdr:colOff>
      <xdr:row>16</xdr:row>
      <xdr:rowOff>151192</xdr:rowOff>
    </xdr:to>
    <xdr:sp macro="" textlink="">
      <xdr:nvSpPr>
        <xdr:cNvPr id="45" name="Triangle 44">
          <a:extLst>
            <a:ext uri="{FF2B5EF4-FFF2-40B4-BE49-F238E27FC236}">
              <a16:creationId xmlns:a16="http://schemas.microsoft.com/office/drawing/2014/main" id="{DDC33DA9-FBAE-E24B-8B17-0786F76D2AF7}"/>
            </a:ext>
          </a:extLst>
        </xdr:cNvPr>
        <xdr:cNvSpPr/>
      </xdr:nvSpPr>
      <xdr:spPr>
        <a:xfrm rot="5400000">
          <a:off x="18266674" y="2068604"/>
          <a:ext cx="1779171" cy="1294805"/>
        </a:xfrm>
        <a:prstGeom prst="triangle">
          <a:avLst>
            <a:gd name="adj" fmla="val 36805"/>
          </a:avLst>
        </a:prstGeom>
        <a:solidFill>
          <a:schemeClr val="bg1">
            <a:lumMod val="75000"/>
            <a:alpha val="24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57</xdr:col>
      <xdr:colOff>7201</xdr:colOff>
      <xdr:row>8</xdr:row>
      <xdr:rowOff>23362</xdr:rowOff>
    </xdr:from>
    <xdr:to>
      <xdr:col>57</xdr:col>
      <xdr:colOff>300234</xdr:colOff>
      <xdr:row>8</xdr:row>
      <xdr:rowOff>195217</xdr:rowOff>
    </xdr:to>
    <xdr:sp macro="" textlink="">
      <xdr:nvSpPr>
        <xdr:cNvPr id="46" name="Oval 45">
          <a:extLst>
            <a:ext uri="{FF2B5EF4-FFF2-40B4-BE49-F238E27FC236}">
              <a16:creationId xmlns:a16="http://schemas.microsoft.com/office/drawing/2014/main" id="{FB8E0E49-E8C8-EF42-A6C5-CB7C57869B32}"/>
            </a:ext>
          </a:extLst>
        </xdr:cNvPr>
        <xdr:cNvSpPr/>
      </xdr:nvSpPr>
      <xdr:spPr>
        <a:xfrm>
          <a:off x="18193601" y="1750562"/>
          <a:ext cx="293033" cy="171855"/>
        </a:xfrm>
        <a:custGeom>
          <a:avLst/>
          <a:gdLst>
            <a:gd name="csX0" fmla="*/ 0 w 293033"/>
            <a:gd name="csY0" fmla="*/ 85928 h 171855"/>
            <a:gd name="csX1" fmla="*/ 146517 w 293033"/>
            <a:gd name="csY1" fmla="*/ 0 h 171855"/>
            <a:gd name="csX2" fmla="*/ 293034 w 293033"/>
            <a:gd name="csY2" fmla="*/ 85928 h 171855"/>
            <a:gd name="csX3" fmla="*/ 146517 w 293033"/>
            <a:gd name="csY3" fmla="*/ 171856 h 171855"/>
            <a:gd name="csX4" fmla="*/ 0 w 293033"/>
            <a:gd name="csY4" fmla="*/ 85928 h 171855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</a:cxnLst>
          <a:rect l="l" t="t" r="r" b="b"/>
          <a:pathLst>
            <a:path w="293033" h="171855" extrusionOk="0">
              <a:moveTo>
                <a:pt x="0" y="85928"/>
              </a:moveTo>
              <a:cubicBezTo>
                <a:pt x="-3893" y="36070"/>
                <a:pt x="47289" y="6872"/>
                <a:pt x="146517" y="0"/>
              </a:cubicBezTo>
              <a:cubicBezTo>
                <a:pt x="237391" y="2096"/>
                <a:pt x="280100" y="38882"/>
                <a:pt x="293034" y="85928"/>
              </a:cubicBezTo>
              <a:cubicBezTo>
                <a:pt x="283820" y="142383"/>
                <a:pt x="223784" y="192042"/>
                <a:pt x="146517" y="171856"/>
              </a:cubicBezTo>
              <a:cubicBezTo>
                <a:pt x="58485" y="167965"/>
                <a:pt x="5797" y="136155"/>
                <a:pt x="0" y="85928"/>
              </a:cubicBezTo>
              <a:close/>
            </a:path>
          </a:pathLst>
        </a:custGeom>
        <a:noFill/>
        <a:ln w="12700">
          <a:solidFill>
            <a:schemeClr val="tx1">
              <a:lumMod val="65000"/>
              <a:lumOff val="35000"/>
            </a:schemeClr>
          </a:solidFill>
          <a:extLst>
            <a:ext uri="{C807C97D-BFC1-408E-A445-0C87EB9F89A2}">
              <ask:lineSketchStyleProps xmlns:ask="http://schemas.microsoft.com/office/drawing/2018/sketchyshapes" sd="1219033472">
                <a:prstGeom prst="ellipse">
                  <a:avLst/>
                </a:prstGeom>
                <ask:type>
                  <ask:lineSketchScribble/>
                </ask:type>
              </ask:lineSketchStyleProps>
            </a:ext>
          </a:extLst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57</xdr:col>
      <xdr:colOff>22000</xdr:colOff>
      <xdr:row>9</xdr:row>
      <xdr:rowOff>17116</xdr:rowOff>
    </xdr:from>
    <xdr:to>
      <xdr:col>57</xdr:col>
      <xdr:colOff>313983</xdr:colOff>
      <xdr:row>9</xdr:row>
      <xdr:rowOff>188680</xdr:rowOff>
    </xdr:to>
    <xdr:sp macro="" textlink="">
      <xdr:nvSpPr>
        <xdr:cNvPr id="47" name="Oval 46">
          <a:extLst>
            <a:ext uri="{FF2B5EF4-FFF2-40B4-BE49-F238E27FC236}">
              <a16:creationId xmlns:a16="http://schemas.microsoft.com/office/drawing/2014/main" id="{29141EE7-5ACA-6E42-A534-E39FACD8451F}"/>
            </a:ext>
          </a:extLst>
        </xdr:cNvPr>
        <xdr:cNvSpPr/>
      </xdr:nvSpPr>
      <xdr:spPr>
        <a:xfrm>
          <a:off x="18208400" y="1960216"/>
          <a:ext cx="291983" cy="171564"/>
        </a:xfrm>
        <a:custGeom>
          <a:avLst/>
          <a:gdLst>
            <a:gd name="csX0" fmla="*/ 0 w 291983"/>
            <a:gd name="csY0" fmla="*/ 85782 h 171564"/>
            <a:gd name="csX1" fmla="*/ 145992 w 291983"/>
            <a:gd name="csY1" fmla="*/ 0 h 171564"/>
            <a:gd name="csX2" fmla="*/ 291984 w 291983"/>
            <a:gd name="csY2" fmla="*/ 85782 h 171564"/>
            <a:gd name="csX3" fmla="*/ 145992 w 291983"/>
            <a:gd name="csY3" fmla="*/ 171564 h 171564"/>
            <a:gd name="csX4" fmla="*/ 0 w 291983"/>
            <a:gd name="csY4" fmla="*/ 85782 h 171564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</a:cxnLst>
          <a:rect l="l" t="t" r="r" b="b"/>
          <a:pathLst>
            <a:path w="291983" h="171564" extrusionOk="0">
              <a:moveTo>
                <a:pt x="0" y="85782"/>
              </a:moveTo>
              <a:cubicBezTo>
                <a:pt x="-11348" y="31406"/>
                <a:pt x="55722" y="3619"/>
                <a:pt x="145992" y="0"/>
              </a:cubicBezTo>
              <a:cubicBezTo>
                <a:pt x="227776" y="243"/>
                <a:pt x="288788" y="38508"/>
                <a:pt x="291984" y="85782"/>
              </a:cubicBezTo>
              <a:cubicBezTo>
                <a:pt x="283418" y="141523"/>
                <a:pt x="226155" y="174141"/>
                <a:pt x="145992" y="171564"/>
              </a:cubicBezTo>
              <a:cubicBezTo>
                <a:pt x="54070" y="165385"/>
                <a:pt x="2127" y="134174"/>
                <a:pt x="0" y="85782"/>
              </a:cubicBezTo>
              <a:close/>
            </a:path>
          </a:pathLst>
        </a:custGeom>
        <a:noFill/>
        <a:ln w="12700">
          <a:solidFill>
            <a:schemeClr val="tx1">
              <a:lumMod val="65000"/>
              <a:lumOff val="35000"/>
            </a:schemeClr>
          </a:solidFill>
          <a:extLst>
            <a:ext uri="{C807C97D-BFC1-408E-A445-0C87EB9F89A2}">
              <ask:lineSketchStyleProps xmlns:ask="http://schemas.microsoft.com/office/drawing/2018/sketchyshapes" sd="1219033472">
                <a:prstGeom prst="ellipse">
                  <a:avLst/>
                </a:prstGeom>
                <ask:type>
                  <ask:lineSketchScribble/>
                </ask:type>
              </ask:lineSketchStyleProps>
            </a:ext>
          </a:extLst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56</xdr:col>
      <xdr:colOff>313070</xdr:colOff>
      <xdr:row>10</xdr:row>
      <xdr:rowOff>11472</xdr:rowOff>
    </xdr:from>
    <xdr:to>
      <xdr:col>57</xdr:col>
      <xdr:colOff>286075</xdr:colOff>
      <xdr:row>10</xdr:row>
      <xdr:rowOff>183327</xdr:rowOff>
    </xdr:to>
    <xdr:sp macro="" textlink="">
      <xdr:nvSpPr>
        <xdr:cNvPr id="48" name="Oval 47">
          <a:extLst>
            <a:ext uri="{FF2B5EF4-FFF2-40B4-BE49-F238E27FC236}">
              <a16:creationId xmlns:a16="http://schemas.microsoft.com/office/drawing/2014/main" id="{77D7D00A-2911-5446-91D4-F1B2C1CF2890}"/>
            </a:ext>
          </a:extLst>
        </xdr:cNvPr>
        <xdr:cNvSpPr/>
      </xdr:nvSpPr>
      <xdr:spPr>
        <a:xfrm>
          <a:off x="18181970" y="2170472"/>
          <a:ext cx="290505" cy="171855"/>
        </a:xfrm>
        <a:custGeom>
          <a:avLst/>
          <a:gdLst>
            <a:gd name="csX0" fmla="*/ 0 w 290505"/>
            <a:gd name="csY0" fmla="*/ 85928 h 171855"/>
            <a:gd name="csX1" fmla="*/ 145253 w 290505"/>
            <a:gd name="csY1" fmla="*/ 0 h 171855"/>
            <a:gd name="csX2" fmla="*/ 290506 w 290505"/>
            <a:gd name="csY2" fmla="*/ 85928 h 171855"/>
            <a:gd name="csX3" fmla="*/ 145253 w 290505"/>
            <a:gd name="csY3" fmla="*/ 171856 h 171855"/>
            <a:gd name="csX4" fmla="*/ 0 w 290505"/>
            <a:gd name="csY4" fmla="*/ 85928 h 171855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</a:cxnLst>
          <a:rect l="l" t="t" r="r" b="b"/>
          <a:pathLst>
            <a:path w="290505" h="171855" extrusionOk="0">
              <a:moveTo>
                <a:pt x="0" y="85928"/>
              </a:moveTo>
              <a:cubicBezTo>
                <a:pt x="-8609" y="33161"/>
                <a:pt x="49901" y="5679"/>
                <a:pt x="145253" y="0"/>
              </a:cubicBezTo>
              <a:cubicBezTo>
                <a:pt x="235429" y="2096"/>
                <a:pt x="277572" y="38882"/>
                <a:pt x="290506" y="85928"/>
              </a:cubicBezTo>
              <a:cubicBezTo>
                <a:pt x="283750" y="139982"/>
                <a:pt x="223028" y="185374"/>
                <a:pt x="145253" y="171856"/>
              </a:cubicBezTo>
              <a:cubicBezTo>
                <a:pt x="57919" y="167965"/>
                <a:pt x="5797" y="136155"/>
                <a:pt x="0" y="85928"/>
              </a:cubicBezTo>
              <a:close/>
            </a:path>
          </a:pathLst>
        </a:custGeom>
        <a:noFill/>
        <a:ln w="12700">
          <a:solidFill>
            <a:schemeClr val="tx1">
              <a:lumMod val="65000"/>
              <a:lumOff val="35000"/>
            </a:schemeClr>
          </a:solidFill>
          <a:extLst>
            <a:ext uri="{C807C97D-BFC1-408E-A445-0C87EB9F89A2}">
              <ask:lineSketchStyleProps xmlns:ask="http://schemas.microsoft.com/office/drawing/2018/sketchyshapes" sd="1219033472">
                <a:prstGeom prst="ellipse">
                  <a:avLst/>
                </a:prstGeom>
                <ask:type>
                  <ask:lineSketchScribble/>
                </ask:type>
              </ask:lineSketchStyleProps>
            </a:ext>
          </a:extLst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57</xdr:col>
      <xdr:colOff>1360</xdr:colOff>
      <xdr:row>13</xdr:row>
      <xdr:rowOff>25582</xdr:rowOff>
    </xdr:from>
    <xdr:to>
      <xdr:col>57</xdr:col>
      <xdr:colOff>293343</xdr:colOff>
      <xdr:row>13</xdr:row>
      <xdr:rowOff>197146</xdr:rowOff>
    </xdr:to>
    <xdr:sp macro="" textlink="">
      <xdr:nvSpPr>
        <xdr:cNvPr id="49" name="Oval 48">
          <a:extLst>
            <a:ext uri="{FF2B5EF4-FFF2-40B4-BE49-F238E27FC236}">
              <a16:creationId xmlns:a16="http://schemas.microsoft.com/office/drawing/2014/main" id="{6645062D-9C5E-8043-BD1E-E60FAAB5C416}"/>
            </a:ext>
          </a:extLst>
        </xdr:cNvPr>
        <xdr:cNvSpPr/>
      </xdr:nvSpPr>
      <xdr:spPr>
        <a:xfrm>
          <a:off x="18187760" y="2832282"/>
          <a:ext cx="291983" cy="171564"/>
        </a:xfrm>
        <a:custGeom>
          <a:avLst/>
          <a:gdLst>
            <a:gd name="csX0" fmla="*/ 0 w 291983"/>
            <a:gd name="csY0" fmla="*/ 85782 h 171564"/>
            <a:gd name="csX1" fmla="*/ 145992 w 291983"/>
            <a:gd name="csY1" fmla="*/ 0 h 171564"/>
            <a:gd name="csX2" fmla="*/ 291984 w 291983"/>
            <a:gd name="csY2" fmla="*/ 85782 h 171564"/>
            <a:gd name="csX3" fmla="*/ 145992 w 291983"/>
            <a:gd name="csY3" fmla="*/ 171564 h 171564"/>
            <a:gd name="csX4" fmla="*/ 0 w 291983"/>
            <a:gd name="csY4" fmla="*/ 85782 h 171564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</a:cxnLst>
          <a:rect l="l" t="t" r="r" b="b"/>
          <a:pathLst>
            <a:path w="291983" h="171564" extrusionOk="0">
              <a:moveTo>
                <a:pt x="0" y="85782"/>
              </a:moveTo>
              <a:cubicBezTo>
                <a:pt x="-11348" y="31406"/>
                <a:pt x="55722" y="3619"/>
                <a:pt x="145992" y="0"/>
              </a:cubicBezTo>
              <a:cubicBezTo>
                <a:pt x="227776" y="243"/>
                <a:pt x="288788" y="38508"/>
                <a:pt x="291984" y="85782"/>
              </a:cubicBezTo>
              <a:cubicBezTo>
                <a:pt x="283418" y="141523"/>
                <a:pt x="226155" y="174141"/>
                <a:pt x="145992" y="171564"/>
              </a:cubicBezTo>
              <a:cubicBezTo>
                <a:pt x="54070" y="165385"/>
                <a:pt x="2127" y="134174"/>
                <a:pt x="0" y="85782"/>
              </a:cubicBezTo>
              <a:close/>
            </a:path>
          </a:pathLst>
        </a:custGeom>
        <a:noFill/>
        <a:ln w="12700">
          <a:solidFill>
            <a:schemeClr val="tx1">
              <a:lumMod val="65000"/>
              <a:lumOff val="35000"/>
            </a:schemeClr>
          </a:solidFill>
          <a:extLst>
            <a:ext uri="{C807C97D-BFC1-408E-A445-0C87EB9F89A2}">
              <ask:lineSketchStyleProps xmlns:ask="http://schemas.microsoft.com/office/drawing/2018/sketchyshapes" sd="1219033472">
                <a:prstGeom prst="ellipse">
                  <a:avLst/>
                </a:prstGeom>
                <ask:type>
                  <ask:lineSketchScribble/>
                </ask:type>
              </ask:lineSketchStyleProps>
            </a:ext>
          </a:extLst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57</xdr:col>
      <xdr:colOff>21393</xdr:colOff>
      <xdr:row>14</xdr:row>
      <xdr:rowOff>36625</xdr:rowOff>
    </xdr:from>
    <xdr:to>
      <xdr:col>57</xdr:col>
      <xdr:colOff>313376</xdr:colOff>
      <xdr:row>15</xdr:row>
      <xdr:rowOff>5280</xdr:rowOff>
    </xdr:to>
    <xdr:sp macro="" textlink="">
      <xdr:nvSpPr>
        <xdr:cNvPr id="50" name="Oval 49">
          <a:extLst>
            <a:ext uri="{FF2B5EF4-FFF2-40B4-BE49-F238E27FC236}">
              <a16:creationId xmlns:a16="http://schemas.microsoft.com/office/drawing/2014/main" id="{EDA8020A-BCB8-2F4B-BE5F-5D100F84011D}"/>
            </a:ext>
          </a:extLst>
        </xdr:cNvPr>
        <xdr:cNvSpPr/>
      </xdr:nvSpPr>
      <xdr:spPr>
        <a:xfrm>
          <a:off x="18207793" y="3059225"/>
          <a:ext cx="291983" cy="184555"/>
        </a:xfrm>
        <a:custGeom>
          <a:avLst/>
          <a:gdLst>
            <a:gd name="csX0" fmla="*/ 0 w 291983"/>
            <a:gd name="csY0" fmla="*/ 92278 h 184555"/>
            <a:gd name="csX1" fmla="*/ 145992 w 291983"/>
            <a:gd name="csY1" fmla="*/ 0 h 184555"/>
            <a:gd name="csX2" fmla="*/ 291984 w 291983"/>
            <a:gd name="csY2" fmla="*/ 92278 h 184555"/>
            <a:gd name="csX3" fmla="*/ 145992 w 291983"/>
            <a:gd name="csY3" fmla="*/ 184556 h 184555"/>
            <a:gd name="csX4" fmla="*/ 0 w 291983"/>
            <a:gd name="csY4" fmla="*/ 92278 h 184555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</a:cxnLst>
          <a:rect l="l" t="t" r="r" b="b"/>
          <a:pathLst>
            <a:path w="291983" h="184555" extrusionOk="0">
              <a:moveTo>
                <a:pt x="0" y="92278"/>
              </a:moveTo>
              <a:cubicBezTo>
                <a:pt x="-10961" y="34553"/>
                <a:pt x="50045" y="5749"/>
                <a:pt x="145992" y="0"/>
              </a:cubicBezTo>
              <a:cubicBezTo>
                <a:pt x="232549" y="1248"/>
                <a:pt x="281055" y="41662"/>
                <a:pt x="291984" y="92278"/>
              </a:cubicBezTo>
              <a:cubicBezTo>
                <a:pt x="283152" y="151867"/>
                <a:pt x="222752" y="205943"/>
                <a:pt x="145992" y="184556"/>
              </a:cubicBezTo>
              <a:cubicBezTo>
                <a:pt x="63853" y="183730"/>
                <a:pt x="13392" y="149641"/>
                <a:pt x="0" y="92278"/>
              </a:cubicBezTo>
              <a:close/>
            </a:path>
          </a:pathLst>
        </a:custGeom>
        <a:noFill/>
        <a:ln w="12700">
          <a:solidFill>
            <a:schemeClr val="tx1">
              <a:lumMod val="65000"/>
              <a:lumOff val="35000"/>
            </a:schemeClr>
          </a:solidFill>
          <a:extLst>
            <a:ext uri="{C807C97D-BFC1-408E-A445-0C87EB9F89A2}">
              <ask:lineSketchStyleProps xmlns:ask="http://schemas.microsoft.com/office/drawing/2018/sketchyshapes" sd="1219033472">
                <a:prstGeom prst="ellipse">
                  <a:avLst/>
                </a:prstGeom>
                <ask:type>
                  <ask:lineSketchScribble/>
                </ask:type>
              </ask:lineSketchStyleProps>
            </a:ext>
          </a:extLst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57</xdr:col>
      <xdr:colOff>6684</xdr:colOff>
      <xdr:row>15</xdr:row>
      <xdr:rowOff>27488</xdr:rowOff>
    </xdr:from>
    <xdr:to>
      <xdr:col>57</xdr:col>
      <xdr:colOff>298667</xdr:colOff>
      <xdr:row>15</xdr:row>
      <xdr:rowOff>196898</xdr:rowOff>
    </xdr:to>
    <xdr:sp macro="" textlink="">
      <xdr:nvSpPr>
        <xdr:cNvPr id="51" name="Oval 50">
          <a:extLst>
            <a:ext uri="{FF2B5EF4-FFF2-40B4-BE49-F238E27FC236}">
              <a16:creationId xmlns:a16="http://schemas.microsoft.com/office/drawing/2014/main" id="{F8D0FB33-45D6-2F4E-954D-5FACA38519E5}"/>
            </a:ext>
          </a:extLst>
        </xdr:cNvPr>
        <xdr:cNvSpPr/>
      </xdr:nvSpPr>
      <xdr:spPr>
        <a:xfrm>
          <a:off x="18193084" y="3265988"/>
          <a:ext cx="291983" cy="169410"/>
        </a:xfrm>
        <a:custGeom>
          <a:avLst/>
          <a:gdLst>
            <a:gd name="csX0" fmla="*/ 0 w 291983"/>
            <a:gd name="csY0" fmla="*/ 84705 h 169410"/>
            <a:gd name="csX1" fmla="*/ 145992 w 291983"/>
            <a:gd name="csY1" fmla="*/ 0 h 169410"/>
            <a:gd name="csX2" fmla="*/ 291984 w 291983"/>
            <a:gd name="csY2" fmla="*/ 84705 h 169410"/>
            <a:gd name="csX3" fmla="*/ 145992 w 291983"/>
            <a:gd name="csY3" fmla="*/ 169410 h 169410"/>
            <a:gd name="csX4" fmla="*/ 0 w 291983"/>
            <a:gd name="csY4" fmla="*/ 84705 h 169410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</a:cxnLst>
          <a:rect l="l" t="t" r="r" b="b"/>
          <a:pathLst>
            <a:path w="291983" h="169410" extrusionOk="0">
              <a:moveTo>
                <a:pt x="0" y="84705"/>
              </a:moveTo>
              <a:cubicBezTo>
                <a:pt x="-13252" y="29750"/>
                <a:pt x="58741" y="2485"/>
                <a:pt x="145992" y="0"/>
              </a:cubicBezTo>
              <a:cubicBezTo>
                <a:pt x="238205" y="2439"/>
                <a:pt x="281350" y="38262"/>
                <a:pt x="291984" y="84705"/>
              </a:cubicBezTo>
              <a:cubicBezTo>
                <a:pt x="286240" y="137095"/>
                <a:pt x="225507" y="175565"/>
                <a:pt x="145992" y="169410"/>
              </a:cubicBezTo>
              <a:cubicBezTo>
                <a:pt x="62449" y="167816"/>
                <a:pt x="2805" y="132826"/>
                <a:pt x="0" y="84705"/>
              </a:cubicBezTo>
              <a:close/>
            </a:path>
          </a:pathLst>
        </a:custGeom>
        <a:noFill/>
        <a:ln w="12700">
          <a:solidFill>
            <a:schemeClr val="tx1">
              <a:lumMod val="65000"/>
              <a:lumOff val="35000"/>
            </a:schemeClr>
          </a:solidFill>
          <a:extLst>
            <a:ext uri="{C807C97D-BFC1-408E-A445-0C87EB9F89A2}">
              <ask:lineSketchStyleProps xmlns:ask="http://schemas.microsoft.com/office/drawing/2018/sketchyshapes" sd="1219033472">
                <a:prstGeom prst="ellipse">
                  <a:avLst/>
                </a:prstGeom>
                <ask:type>
                  <ask:lineSketchScribble/>
                </ask:type>
              </ask:lineSketchStyleProps>
            </a:ext>
          </a:extLst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57</xdr:col>
      <xdr:colOff>2191</xdr:colOff>
      <xdr:row>16</xdr:row>
      <xdr:rowOff>33200</xdr:rowOff>
    </xdr:from>
    <xdr:to>
      <xdr:col>57</xdr:col>
      <xdr:colOff>294174</xdr:colOff>
      <xdr:row>17</xdr:row>
      <xdr:rowOff>1855</xdr:rowOff>
    </xdr:to>
    <xdr:sp macro="" textlink="">
      <xdr:nvSpPr>
        <xdr:cNvPr id="52" name="Oval 51">
          <a:extLst>
            <a:ext uri="{FF2B5EF4-FFF2-40B4-BE49-F238E27FC236}">
              <a16:creationId xmlns:a16="http://schemas.microsoft.com/office/drawing/2014/main" id="{D750A602-ECC2-C14A-8D65-1AEB080C4718}"/>
            </a:ext>
          </a:extLst>
        </xdr:cNvPr>
        <xdr:cNvSpPr/>
      </xdr:nvSpPr>
      <xdr:spPr>
        <a:xfrm>
          <a:off x="18188591" y="3487600"/>
          <a:ext cx="291983" cy="184555"/>
        </a:xfrm>
        <a:custGeom>
          <a:avLst/>
          <a:gdLst>
            <a:gd name="csX0" fmla="*/ 0 w 291983"/>
            <a:gd name="csY0" fmla="*/ 92278 h 184555"/>
            <a:gd name="csX1" fmla="*/ 145992 w 291983"/>
            <a:gd name="csY1" fmla="*/ 0 h 184555"/>
            <a:gd name="csX2" fmla="*/ 291984 w 291983"/>
            <a:gd name="csY2" fmla="*/ 92278 h 184555"/>
            <a:gd name="csX3" fmla="*/ 145992 w 291983"/>
            <a:gd name="csY3" fmla="*/ 184556 h 184555"/>
            <a:gd name="csX4" fmla="*/ 0 w 291983"/>
            <a:gd name="csY4" fmla="*/ 92278 h 184555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</a:cxnLst>
          <a:rect l="l" t="t" r="r" b="b"/>
          <a:pathLst>
            <a:path w="291983" h="184555" extrusionOk="0">
              <a:moveTo>
                <a:pt x="0" y="92278"/>
              </a:moveTo>
              <a:cubicBezTo>
                <a:pt x="-10961" y="34553"/>
                <a:pt x="50045" y="5749"/>
                <a:pt x="145992" y="0"/>
              </a:cubicBezTo>
              <a:cubicBezTo>
                <a:pt x="232549" y="1248"/>
                <a:pt x="281055" y="41662"/>
                <a:pt x="291984" y="92278"/>
              </a:cubicBezTo>
              <a:cubicBezTo>
                <a:pt x="283152" y="151867"/>
                <a:pt x="222752" y="205943"/>
                <a:pt x="145992" y="184556"/>
              </a:cubicBezTo>
              <a:cubicBezTo>
                <a:pt x="63853" y="183730"/>
                <a:pt x="13392" y="149641"/>
                <a:pt x="0" y="92278"/>
              </a:cubicBezTo>
              <a:close/>
            </a:path>
          </a:pathLst>
        </a:custGeom>
        <a:noFill/>
        <a:ln w="12700">
          <a:solidFill>
            <a:schemeClr val="tx1">
              <a:lumMod val="65000"/>
              <a:lumOff val="35000"/>
            </a:schemeClr>
          </a:solidFill>
          <a:extLst>
            <a:ext uri="{C807C97D-BFC1-408E-A445-0C87EB9F89A2}">
              <ask:lineSketchStyleProps xmlns:ask="http://schemas.microsoft.com/office/drawing/2018/sketchyshapes" sd="1219033472">
                <a:prstGeom prst="ellipse">
                  <a:avLst/>
                </a:prstGeom>
                <ask:type>
                  <ask:lineSketchScribble/>
                </ask:type>
              </ask:lineSketchStyleProps>
            </a:ext>
          </a:extLst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57</xdr:col>
      <xdr:colOff>11005</xdr:colOff>
      <xdr:row>11</xdr:row>
      <xdr:rowOff>16676</xdr:rowOff>
    </xdr:from>
    <xdr:to>
      <xdr:col>57</xdr:col>
      <xdr:colOff>302987</xdr:colOff>
      <xdr:row>11</xdr:row>
      <xdr:rowOff>188531</xdr:rowOff>
    </xdr:to>
    <xdr:sp macro="" textlink="">
      <xdr:nvSpPr>
        <xdr:cNvPr id="53" name="Oval 52">
          <a:extLst>
            <a:ext uri="{FF2B5EF4-FFF2-40B4-BE49-F238E27FC236}">
              <a16:creationId xmlns:a16="http://schemas.microsoft.com/office/drawing/2014/main" id="{F024A95B-454E-014D-8860-D72645EC4153}"/>
            </a:ext>
          </a:extLst>
        </xdr:cNvPr>
        <xdr:cNvSpPr/>
      </xdr:nvSpPr>
      <xdr:spPr>
        <a:xfrm>
          <a:off x="18197405" y="2391576"/>
          <a:ext cx="291982" cy="171855"/>
        </a:xfrm>
        <a:custGeom>
          <a:avLst/>
          <a:gdLst>
            <a:gd name="csX0" fmla="*/ 0 w 291982"/>
            <a:gd name="csY0" fmla="*/ 85928 h 171855"/>
            <a:gd name="csX1" fmla="*/ 145991 w 291982"/>
            <a:gd name="csY1" fmla="*/ 0 h 171855"/>
            <a:gd name="csX2" fmla="*/ 291982 w 291982"/>
            <a:gd name="csY2" fmla="*/ 85928 h 171855"/>
            <a:gd name="csX3" fmla="*/ 145991 w 291982"/>
            <a:gd name="csY3" fmla="*/ 171856 h 171855"/>
            <a:gd name="csX4" fmla="*/ 0 w 291982"/>
            <a:gd name="csY4" fmla="*/ 85928 h 171855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</a:cxnLst>
          <a:rect l="l" t="t" r="r" b="b"/>
          <a:pathLst>
            <a:path w="291982" h="171855" extrusionOk="0">
              <a:moveTo>
                <a:pt x="0" y="85928"/>
              </a:moveTo>
              <a:cubicBezTo>
                <a:pt x="-18245" y="27217"/>
                <a:pt x="47368" y="6753"/>
                <a:pt x="145991" y="0"/>
              </a:cubicBezTo>
              <a:cubicBezTo>
                <a:pt x="236575" y="2096"/>
                <a:pt x="279048" y="38882"/>
                <a:pt x="291982" y="85928"/>
              </a:cubicBezTo>
              <a:cubicBezTo>
                <a:pt x="288476" y="136809"/>
                <a:pt x="225785" y="176473"/>
                <a:pt x="145991" y="171856"/>
              </a:cubicBezTo>
              <a:cubicBezTo>
                <a:pt x="58249" y="167965"/>
                <a:pt x="5797" y="136155"/>
                <a:pt x="0" y="85928"/>
              </a:cubicBezTo>
              <a:close/>
            </a:path>
          </a:pathLst>
        </a:custGeom>
        <a:noFill/>
        <a:ln w="12700">
          <a:solidFill>
            <a:schemeClr val="tx1">
              <a:lumMod val="65000"/>
              <a:lumOff val="35000"/>
            </a:schemeClr>
          </a:solidFill>
          <a:extLst>
            <a:ext uri="{C807C97D-BFC1-408E-A445-0C87EB9F89A2}">
              <ask:lineSketchStyleProps xmlns:ask="http://schemas.microsoft.com/office/drawing/2018/sketchyshapes" sd="1219033472">
                <a:prstGeom prst="ellipse">
                  <a:avLst/>
                </a:prstGeom>
                <ask:type>
                  <ask:lineSketchScribble/>
                </ask:type>
              </ask:lineSketchStyleProps>
            </a:ext>
          </a:extLst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57</xdr:col>
      <xdr:colOff>2515</xdr:colOff>
      <xdr:row>12</xdr:row>
      <xdr:rowOff>16653</xdr:rowOff>
    </xdr:from>
    <xdr:to>
      <xdr:col>57</xdr:col>
      <xdr:colOff>294497</xdr:colOff>
      <xdr:row>12</xdr:row>
      <xdr:rowOff>188508</xdr:rowOff>
    </xdr:to>
    <xdr:sp macro="" textlink="">
      <xdr:nvSpPr>
        <xdr:cNvPr id="54" name="Oval 53">
          <a:extLst>
            <a:ext uri="{FF2B5EF4-FFF2-40B4-BE49-F238E27FC236}">
              <a16:creationId xmlns:a16="http://schemas.microsoft.com/office/drawing/2014/main" id="{4FC74067-AD67-A544-915E-0D9C74B4F931}"/>
            </a:ext>
          </a:extLst>
        </xdr:cNvPr>
        <xdr:cNvSpPr/>
      </xdr:nvSpPr>
      <xdr:spPr>
        <a:xfrm>
          <a:off x="18188915" y="2607453"/>
          <a:ext cx="291982" cy="171855"/>
        </a:xfrm>
        <a:custGeom>
          <a:avLst/>
          <a:gdLst>
            <a:gd name="csX0" fmla="*/ 0 w 291982"/>
            <a:gd name="csY0" fmla="*/ 85928 h 171855"/>
            <a:gd name="csX1" fmla="*/ 145991 w 291982"/>
            <a:gd name="csY1" fmla="*/ 0 h 171855"/>
            <a:gd name="csX2" fmla="*/ 291982 w 291982"/>
            <a:gd name="csY2" fmla="*/ 85928 h 171855"/>
            <a:gd name="csX3" fmla="*/ 145991 w 291982"/>
            <a:gd name="csY3" fmla="*/ 171856 h 171855"/>
            <a:gd name="csX4" fmla="*/ 0 w 291982"/>
            <a:gd name="csY4" fmla="*/ 85928 h 171855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</a:cxnLst>
          <a:rect l="l" t="t" r="r" b="b"/>
          <a:pathLst>
            <a:path w="291982" h="171855" extrusionOk="0">
              <a:moveTo>
                <a:pt x="0" y="85928"/>
              </a:moveTo>
              <a:cubicBezTo>
                <a:pt x="-18245" y="27217"/>
                <a:pt x="47368" y="6753"/>
                <a:pt x="145991" y="0"/>
              </a:cubicBezTo>
              <a:cubicBezTo>
                <a:pt x="236575" y="2096"/>
                <a:pt x="279048" y="38882"/>
                <a:pt x="291982" y="85928"/>
              </a:cubicBezTo>
              <a:cubicBezTo>
                <a:pt x="288476" y="136809"/>
                <a:pt x="225785" y="176473"/>
                <a:pt x="145991" y="171856"/>
              </a:cubicBezTo>
              <a:cubicBezTo>
                <a:pt x="58249" y="167965"/>
                <a:pt x="5797" y="136155"/>
                <a:pt x="0" y="85928"/>
              </a:cubicBezTo>
              <a:close/>
            </a:path>
          </a:pathLst>
        </a:custGeom>
        <a:noFill/>
        <a:ln w="12700">
          <a:solidFill>
            <a:schemeClr val="tx1">
              <a:lumMod val="65000"/>
              <a:lumOff val="35000"/>
            </a:schemeClr>
          </a:solidFill>
          <a:extLst>
            <a:ext uri="{C807C97D-BFC1-408E-A445-0C87EB9F89A2}">
              <ask:lineSketchStyleProps xmlns:ask="http://schemas.microsoft.com/office/drawing/2018/sketchyshapes" sd="1219033472">
                <a:prstGeom prst="ellipse">
                  <a:avLst/>
                </a:prstGeom>
                <ask:type>
                  <ask:lineSketchScribble/>
                </ask:type>
              </ask:lineSketchStyleProps>
            </a:ext>
          </a:extLst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58</xdr:col>
      <xdr:colOff>13490</xdr:colOff>
      <xdr:row>8</xdr:row>
      <xdr:rowOff>107755</xdr:rowOff>
    </xdr:from>
    <xdr:to>
      <xdr:col>62</xdr:col>
      <xdr:colOff>38295</xdr:colOff>
      <xdr:row>16</xdr:row>
      <xdr:rowOff>173870</xdr:rowOff>
    </xdr:to>
    <xdr:sp macro="" textlink="">
      <xdr:nvSpPr>
        <xdr:cNvPr id="55" name="Triangle 54">
          <a:extLst>
            <a:ext uri="{FF2B5EF4-FFF2-40B4-BE49-F238E27FC236}">
              <a16:creationId xmlns:a16="http://schemas.microsoft.com/office/drawing/2014/main" id="{55565047-1F47-F349-9C54-46B64CE48A01}"/>
            </a:ext>
          </a:extLst>
        </xdr:cNvPr>
        <xdr:cNvSpPr/>
      </xdr:nvSpPr>
      <xdr:spPr>
        <a:xfrm rot="5400000">
          <a:off x="18268135" y="2084210"/>
          <a:ext cx="1793315" cy="1294805"/>
        </a:xfrm>
        <a:prstGeom prst="triangle">
          <a:avLst>
            <a:gd name="adj" fmla="val 48747"/>
          </a:avLst>
        </a:prstGeom>
        <a:solidFill>
          <a:schemeClr val="bg1">
            <a:lumMod val="75000"/>
            <a:alpha val="24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58</xdr:col>
      <xdr:colOff>7140</xdr:colOff>
      <xdr:row>8</xdr:row>
      <xdr:rowOff>101405</xdr:rowOff>
    </xdr:from>
    <xdr:to>
      <xdr:col>62</xdr:col>
      <xdr:colOff>31945</xdr:colOff>
      <xdr:row>16</xdr:row>
      <xdr:rowOff>173869</xdr:rowOff>
    </xdr:to>
    <xdr:sp macro="" textlink="">
      <xdr:nvSpPr>
        <xdr:cNvPr id="56" name="Triangle 55">
          <a:extLst>
            <a:ext uri="{FF2B5EF4-FFF2-40B4-BE49-F238E27FC236}">
              <a16:creationId xmlns:a16="http://schemas.microsoft.com/office/drawing/2014/main" id="{646F385D-99C7-C949-BB78-9C0BA367A3B2}"/>
            </a:ext>
          </a:extLst>
        </xdr:cNvPr>
        <xdr:cNvSpPr/>
      </xdr:nvSpPr>
      <xdr:spPr>
        <a:xfrm rot="5400000">
          <a:off x="18258611" y="2081034"/>
          <a:ext cx="1799664" cy="1294805"/>
        </a:xfrm>
        <a:prstGeom prst="triangle">
          <a:avLst>
            <a:gd name="adj" fmla="val 60343"/>
          </a:avLst>
        </a:prstGeom>
        <a:solidFill>
          <a:schemeClr val="bg1">
            <a:lumMod val="75000"/>
            <a:alpha val="24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58</xdr:col>
      <xdr:colOff>10712</xdr:colOff>
      <xdr:row>8</xdr:row>
      <xdr:rowOff>109939</xdr:rowOff>
    </xdr:from>
    <xdr:to>
      <xdr:col>62</xdr:col>
      <xdr:colOff>35517</xdr:colOff>
      <xdr:row>16</xdr:row>
      <xdr:rowOff>143631</xdr:rowOff>
    </xdr:to>
    <xdr:sp macro="" textlink="">
      <xdr:nvSpPr>
        <xdr:cNvPr id="57" name="Triangle 56">
          <a:extLst>
            <a:ext uri="{FF2B5EF4-FFF2-40B4-BE49-F238E27FC236}">
              <a16:creationId xmlns:a16="http://schemas.microsoft.com/office/drawing/2014/main" id="{97176BAB-894F-D34F-89D2-649AA3BE3205}"/>
            </a:ext>
          </a:extLst>
        </xdr:cNvPr>
        <xdr:cNvSpPr/>
      </xdr:nvSpPr>
      <xdr:spPr>
        <a:xfrm rot="5400000">
          <a:off x="18281569" y="2070182"/>
          <a:ext cx="1760892" cy="1294805"/>
        </a:xfrm>
        <a:prstGeom prst="triangle">
          <a:avLst>
            <a:gd name="adj" fmla="val 72997"/>
          </a:avLst>
        </a:prstGeom>
        <a:solidFill>
          <a:schemeClr val="bg1">
            <a:lumMod val="75000"/>
            <a:alpha val="24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62</xdr:col>
      <xdr:colOff>317341</xdr:colOff>
      <xdr:row>11</xdr:row>
      <xdr:rowOff>88893</xdr:rowOff>
    </xdr:from>
    <xdr:to>
      <xdr:col>63</xdr:col>
      <xdr:colOff>288925</xdr:colOff>
      <xdr:row>11</xdr:row>
      <xdr:rowOff>139700</xdr:rowOff>
    </xdr:to>
    <xdr:sp macro="" textlink="">
      <xdr:nvSpPr>
        <xdr:cNvPr id="58" name="Rectangle 57">
          <a:extLst>
            <a:ext uri="{FF2B5EF4-FFF2-40B4-BE49-F238E27FC236}">
              <a16:creationId xmlns:a16="http://schemas.microsoft.com/office/drawing/2014/main" id="{55E8DC11-862F-8A41-A8F7-C766DBF54280}"/>
            </a:ext>
          </a:extLst>
        </xdr:cNvPr>
        <xdr:cNvSpPr/>
      </xdr:nvSpPr>
      <xdr:spPr>
        <a:xfrm>
          <a:off x="20091241" y="2463793"/>
          <a:ext cx="289084" cy="50807"/>
        </a:xfrm>
        <a:prstGeom prst="rect">
          <a:avLst/>
        </a:prstGeom>
        <a:solidFill>
          <a:schemeClr val="bg1">
            <a:lumMod val="75000"/>
            <a:alpha val="24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63</xdr:col>
      <xdr:colOff>12191</xdr:colOff>
      <xdr:row>12</xdr:row>
      <xdr:rowOff>85327</xdr:rowOff>
    </xdr:from>
    <xdr:to>
      <xdr:col>63</xdr:col>
      <xdr:colOff>301275</xdr:colOff>
      <xdr:row>12</xdr:row>
      <xdr:rowOff>136134</xdr:rowOff>
    </xdr:to>
    <xdr:sp macro="" textlink="">
      <xdr:nvSpPr>
        <xdr:cNvPr id="59" name="Rectangle 58">
          <a:extLst>
            <a:ext uri="{FF2B5EF4-FFF2-40B4-BE49-F238E27FC236}">
              <a16:creationId xmlns:a16="http://schemas.microsoft.com/office/drawing/2014/main" id="{3831A00B-84C2-074D-A646-22316642A61E}"/>
            </a:ext>
          </a:extLst>
        </xdr:cNvPr>
        <xdr:cNvSpPr/>
      </xdr:nvSpPr>
      <xdr:spPr>
        <a:xfrm>
          <a:off x="20103591" y="2676127"/>
          <a:ext cx="289084" cy="50807"/>
        </a:xfrm>
        <a:prstGeom prst="rect">
          <a:avLst/>
        </a:prstGeom>
        <a:solidFill>
          <a:schemeClr val="bg1">
            <a:lumMod val="75000"/>
            <a:alpha val="24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63</xdr:col>
      <xdr:colOff>11809</xdr:colOff>
      <xdr:row>13</xdr:row>
      <xdr:rowOff>84945</xdr:rowOff>
    </xdr:from>
    <xdr:to>
      <xdr:col>63</xdr:col>
      <xdr:colOff>300893</xdr:colOff>
      <xdr:row>13</xdr:row>
      <xdr:rowOff>135752</xdr:rowOff>
    </xdr:to>
    <xdr:sp macro="" textlink="">
      <xdr:nvSpPr>
        <xdr:cNvPr id="60" name="Rectangle 59">
          <a:extLst>
            <a:ext uri="{FF2B5EF4-FFF2-40B4-BE49-F238E27FC236}">
              <a16:creationId xmlns:a16="http://schemas.microsoft.com/office/drawing/2014/main" id="{F885BED1-9883-9140-AC68-ED345EB81692}"/>
            </a:ext>
          </a:extLst>
        </xdr:cNvPr>
        <xdr:cNvSpPr/>
      </xdr:nvSpPr>
      <xdr:spPr>
        <a:xfrm>
          <a:off x="20103209" y="2891645"/>
          <a:ext cx="289084" cy="50807"/>
        </a:xfrm>
        <a:prstGeom prst="rect">
          <a:avLst/>
        </a:prstGeom>
        <a:solidFill>
          <a:schemeClr val="bg1">
            <a:lumMod val="75000"/>
            <a:alpha val="24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63</xdr:col>
      <xdr:colOff>9525</xdr:colOff>
      <xdr:row>14</xdr:row>
      <xdr:rowOff>82550</xdr:rowOff>
    </xdr:from>
    <xdr:to>
      <xdr:col>63</xdr:col>
      <xdr:colOff>298609</xdr:colOff>
      <xdr:row>14</xdr:row>
      <xdr:rowOff>133357</xdr:rowOff>
    </xdr:to>
    <xdr:sp macro="" textlink="">
      <xdr:nvSpPr>
        <xdr:cNvPr id="61" name="Rectangle 60">
          <a:extLst>
            <a:ext uri="{FF2B5EF4-FFF2-40B4-BE49-F238E27FC236}">
              <a16:creationId xmlns:a16="http://schemas.microsoft.com/office/drawing/2014/main" id="{3B582F90-59BF-1247-9A33-7D2DA0679E16}"/>
            </a:ext>
          </a:extLst>
        </xdr:cNvPr>
        <xdr:cNvSpPr/>
      </xdr:nvSpPr>
      <xdr:spPr>
        <a:xfrm>
          <a:off x="20100925" y="3105150"/>
          <a:ext cx="289084" cy="50807"/>
        </a:xfrm>
        <a:prstGeom prst="rect">
          <a:avLst/>
        </a:prstGeom>
        <a:solidFill>
          <a:schemeClr val="bg1">
            <a:lumMod val="75000"/>
            <a:alpha val="24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62</xdr:col>
      <xdr:colOff>29991</xdr:colOff>
      <xdr:row>11</xdr:row>
      <xdr:rowOff>28187</xdr:rowOff>
    </xdr:from>
    <xdr:to>
      <xdr:col>62</xdr:col>
      <xdr:colOff>297271</xdr:colOff>
      <xdr:row>11</xdr:row>
      <xdr:rowOff>200042</xdr:rowOff>
    </xdr:to>
    <xdr:sp macro="" textlink="">
      <xdr:nvSpPr>
        <xdr:cNvPr id="62" name="Oval 61">
          <a:extLst>
            <a:ext uri="{FF2B5EF4-FFF2-40B4-BE49-F238E27FC236}">
              <a16:creationId xmlns:a16="http://schemas.microsoft.com/office/drawing/2014/main" id="{67FE2776-B9BD-1A4C-9E34-58A3F8822082}"/>
            </a:ext>
          </a:extLst>
        </xdr:cNvPr>
        <xdr:cNvSpPr/>
      </xdr:nvSpPr>
      <xdr:spPr>
        <a:xfrm>
          <a:off x="19803891" y="2403087"/>
          <a:ext cx="267280" cy="171855"/>
        </a:xfrm>
        <a:custGeom>
          <a:avLst/>
          <a:gdLst>
            <a:gd name="csX0" fmla="*/ 0 w 267280"/>
            <a:gd name="csY0" fmla="*/ 85928 h 171855"/>
            <a:gd name="csX1" fmla="*/ 133640 w 267280"/>
            <a:gd name="csY1" fmla="*/ 0 h 171855"/>
            <a:gd name="csX2" fmla="*/ 267280 w 267280"/>
            <a:gd name="csY2" fmla="*/ 85928 h 171855"/>
            <a:gd name="csX3" fmla="*/ 133640 w 267280"/>
            <a:gd name="csY3" fmla="*/ 171856 h 171855"/>
            <a:gd name="csX4" fmla="*/ 0 w 267280"/>
            <a:gd name="csY4" fmla="*/ 85928 h 171855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</a:cxnLst>
          <a:rect l="l" t="t" r="r" b="b"/>
          <a:pathLst>
            <a:path w="267280" h="171855" extrusionOk="0">
              <a:moveTo>
                <a:pt x="0" y="85928"/>
              </a:moveTo>
              <a:cubicBezTo>
                <a:pt x="-6356" y="34550"/>
                <a:pt x="47335" y="4691"/>
                <a:pt x="133640" y="0"/>
              </a:cubicBezTo>
              <a:cubicBezTo>
                <a:pt x="217402" y="2096"/>
                <a:pt x="254346" y="38882"/>
                <a:pt x="267280" y="85928"/>
              </a:cubicBezTo>
              <a:cubicBezTo>
                <a:pt x="263135" y="137433"/>
                <a:pt x="205201" y="184272"/>
                <a:pt x="133640" y="171856"/>
              </a:cubicBezTo>
              <a:cubicBezTo>
                <a:pt x="52720" y="167965"/>
                <a:pt x="5797" y="136155"/>
                <a:pt x="0" y="85928"/>
              </a:cubicBezTo>
              <a:close/>
            </a:path>
          </a:pathLst>
        </a:custGeom>
        <a:noFill/>
        <a:ln w="12700">
          <a:solidFill>
            <a:schemeClr val="tx1">
              <a:lumMod val="65000"/>
              <a:lumOff val="35000"/>
            </a:schemeClr>
          </a:solidFill>
          <a:extLst>
            <a:ext uri="{C807C97D-BFC1-408E-A445-0C87EB9F89A2}">
              <ask:lineSketchStyleProps xmlns:ask="http://schemas.microsoft.com/office/drawing/2018/sketchyshapes" sd="1219033472">
                <a:prstGeom prst="ellipse">
                  <a:avLst/>
                </a:prstGeom>
                <ask:type>
                  <ask:lineSketchScribble/>
                </ask:type>
              </ask:lineSketchStyleProps>
            </a:ext>
          </a:extLst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62</xdr:col>
      <xdr:colOff>53163</xdr:colOff>
      <xdr:row>12</xdr:row>
      <xdr:rowOff>30407</xdr:rowOff>
    </xdr:from>
    <xdr:to>
      <xdr:col>63</xdr:col>
      <xdr:colOff>509</xdr:colOff>
      <xdr:row>13</xdr:row>
      <xdr:rowOff>1134</xdr:rowOff>
    </xdr:to>
    <xdr:sp macro="" textlink="">
      <xdr:nvSpPr>
        <xdr:cNvPr id="63" name="Oval 62">
          <a:extLst>
            <a:ext uri="{FF2B5EF4-FFF2-40B4-BE49-F238E27FC236}">
              <a16:creationId xmlns:a16="http://schemas.microsoft.com/office/drawing/2014/main" id="{2F7F04A4-0D00-404B-A272-68C4C3D4DDE8}"/>
            </a:ext>
          </a:extLst>
        </xdr:cNvPr>
        <xdr:cNvSpPr/>
      </xdr:nvSpPr>
      <xdr:spPr>
        <a:xfrm>
          <a:off x="19827063" y="2621207"/>
          <a:ext cx="264846" cy="186627"/>
        </a:xfrm>
        <a:custGeom>
          <a:avLst/>
          <a:gdLst>
            <a:gd name="csX0" fmla="*/ 0 w 264846"/>
            <a:gd name="csY0" fmla="*/ 93314 h 186627"/>
            <a:gd name="csX1" fmla="*/ 132423 w 264846"/>
            <a:gd name="csY1" fmla="*/ 0 h 186627"/>
            <a:gd name="csX2" fmla="*/ 264846 w 264846"/>
            <a:gd name="csY2" fmla="*/ 93314 h 186627"/>
            <a:gd name="csX3" fmla="*/ 132423 w 264846"/>
            <a:gd name="csY3" fmla="*/ 186628 h 186627"/>
            <a:gd name="csX4" fmla="*/ 0 w 264846"/>
            <a:gd name="csY4" fmla="*/ 93314 h 186627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</a:cxnLst>
          <a:rect l="l" t="t" r="r" b="b"/>
          <a:pathLst>
            <a:path w="264846" h="186627" extrusionOk="0">
              <a:moveTo>
                <a:pt x="0" y="93314"/>
              </a:moveTo>
              <a:cubicBezTo>
                <a:pt x="-5081" y="38644"/>
                <a:pt x="55308" y="1494"/>
                <a:pt x="132423" y="0"/>
              </a:cubicBezTo>
              <a:cubicBezTo>
                <a:pt x="219456" y="2926"/>
                <a:pt x="256758" y="42035"/>
                <a:pt x="264846" y="93314"/>
              </a:cubicBezTo>
              <a:cubicBezTo>
                <a:pt x="255472" y="154005"/>
                <a:pt x="202269" y="204808"/>
                <a:pt x="132423" y="186628"/>
              </a:cubicBezTo>
              <a:cubicBezTo>
                <a:pt x="51708" y="182481"/>
                <a:pt x="7780" y="148567"/>
                <a:pt x="0" y="93314"/>
              </a:cubicBezTo>
              <a:close/>
            </a:path>
          </a:pathLst>
        </a:custGeom>
        <a:noFill/>
        <a:ln w="12700">
          <a:solidFill>
            <a:schemeClr val="tx1">
              <a:lumMod val="65000"/>
              <a:lumOff val="35000"/>
            </a:schemeClr>
          </a:solidFill>
          <a:extLst>
            <a:ext uri="{C807C97D-BFC1-408E-A445-0C87EB9F89A2}">
              <ask:lineSketchStyleProps xmlns:ask="http://schemas.microsoft.com/office/drawing/2018/sketchyshapes" sd="1219033472">
                <a:prstGeom prst="ellipse">
                  <a:avLst/>
                </a:prstGeom>
                <ask:type>
                  <ask:lineSketchScribble/>
                </ask:type>
              </ask:lineSketchStyleProps>
            </a:ext>
          </a:extLst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62</xdr:col>
      <xdr:colOff>33723</xdr:colOff>
      <xdr:row>13</xdr:row>
      <xdr:rowOff>24763</xdr:rowOff>
    </xdr:from>
    <xdr:to>
      <xdr:col>62</xdr:col>
      <xdr:colOff>300045</xdr:colOff>
      <xdr:row>13</xdr:row>
      <xdr:rowOff>196618</xdr:rowOff>
    </xdr:to>
    <xdr:sp macro="" textlink="">
      <xdr:nvSpPr>
        <xdr:cNvPr id="64" name="Oval 63">
          <a:extLst>
            <a:ext uri="{FF2B5EF4-FFF2-40B4-BE49-F238E27FC236}">
              <a16:creationId xmlns:a16="http://schemas.microsoft.com/office/drawing/2014/main" id="{AC2DCC45-839C-6347-95CB-98E683B46D63}"/>
            </a:ext>
          </a:extLst>
        </xdr:cNvPr>
        <xdr:cNvSpPr/>
      </xdr:nvSpPr>
      <xdr:spPr>
        <a:xfrm>
          <a:off x="19807623" y="2831463"/>
          <a:ext cx="266322" cy="171855"/>
        </a:xfrm>
        <a:custGeom>
          <a:avLst/>
          <a:gdLst>
            <a:gd name="csX0" fmla="*/ 0 w 266322"/>
            <a:gd name="csY0" fmla="*/ 85928 h 171855"/>
            <a:gd name="csX1" fmla="*/ 133161 w 266322"/>
            <a:gd name="csY1" fmla="*/ 0 h 171855"/>
            <a:gd name="csX2" fmla="*/ 266322 w 266322"/>
            <a:gd name="csY2" fmla="*/ 85928 h 171855"/>
            <a:gd name="csX3" fmla="*/ 133161 w 266322"/>
            <a:gd name="csY3" fmla="*/ 171856 h 171855"/>
            <a:gd name="csX4" fmla="*/ 0 w 266322"/>
            <a:gd name="csY4" fmla="*/ 85928 h 171855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</a:cxnLst>
          <a:rect l="l" t="t" r="r" b="b"/>
          <a:pathLst>
            <a:path w="266322" h="171855" extrusionOk="0">
              <a:moveTo>
                <a:pt x="0" y="85928"/>
              </a:moveTo>
              <a:cubicBezTo>
                <a:pt x="-1534" y="37525"/>
                <a:pt x="50718" y="3340"/>
                <a:pt x="133161" y="0"/>
              </a:cubicBezTo>
              <a:cubicBezTo>
                <a:pt x="216659" y="2096"/>
                <a:pt x="253388" y="38882"/>
                <a:pt x="266322" y="85928"/>
              </a:cubicBezTo>
              <a:cubicBezTo>
                <a:pt x="252807" y="146583"/>
                <a:pt x="205411" y="179002"/>
                <a:pt x="133161" y="171856"/>
              </a:cubicBezTo>
              <a:cubicBezTo>
                <a:pt x="52505" y="167965"/>
                <a:pt x="5797" y="136155"/>
                <a:pt x="0" y="85928"/>
              </a:cubicBezTo>
              <a:close/>
            </a:path>
          </a:pathLst>
        </a:custGeom>
        <a:noFill/>
        <a:ln w="12700">
          <a:solidFill>
            <a:schemeClr val="tx1">
              <a:lumMod val="65000"/>
              <a:lumOff val="35000"/>
            </a:schemeClr>
          </a:solidFill>
          <a:extLst>
            <a:ext uri="{C807C97D-BFC1-408E-A445-0C87EB9F89A2}">
              <ask:lineSketchStyleProps xmlns:ask="http://schemas.microsoft.com/office/drawing/2018/sketchyshapes" sd="1219033472">
                <a:prstGeom prst="ellipse">
                  <a:avLst/>
                </a:prstGeom>
                <ask:type>
                  <ask:lineSketchScribble/>
                </ask:type>
              </ask:lineSketchStyleProps>
            </a:ext>
          </a:extLst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62</xdr:col>
      <xdr:colOff>33702</xdr:colOff>
      <xdr:row>14</xdr:row>
      <xdr:rowOff>21501</xdr:rowOff>
    </xdr:from>
    <xdr:to>
      <xdr:col>62</xdr:col>
      <xdr:colOff>300024</xdr:colOff>
      <xdr:row>14</xdr:row>
      <xdr:rowOff>193356</xdr:rowOff>
    </xdr:to>
    <xdr:sp macro="" textlink="">
      <xdr:nvSpPr>
        <xdr:cNvPr id="65" name="Oval 64">
          <a:extLst>
            <a:ext uri="{FF2B5EF4-FFF2-40B4-BE49-F238E27FC236}">
              <a16:creationId xmlns:a16="http://schemas.microsoft.com/office/drawing/2014/main" id="{B0BDAD34-E6AA-7546-8C6F-165A7298F082}"/>
            </a:ext>
          </a:extLst>
        </xdr:cNvPr>
        <xdr:cNvSpPr/>
      </xdr:nvSpPr>
      <xdr:spPr>
        <a:xfrm>
          <a:off x="19807602" y="3044101"/>
          <a:ext cx="266322" cy="171855"/>
        </a:xfrm>
        <a:custGeom>
          <a:avLst/>
          <a:gdLst>
            <a:gd name="csX0" fmla="*/ 0 w 266322"/>
            <a:gd name="csY0" fmla="*/ 85928 h 171855"/>
            <a:gd name="csX1" fmla="*/ 133161 w 266322"/>
            <a:gd name="csY1" fmla="*/ 0 h 171855"/>
            <a:gd name="csX2" fmla="*/ 266322 w 266322"/>
            <a:gd name="csY2" fmla="*/ 85928 h 171855"/>
            <a:gd name="csX3" fmla="*/ 133161 w 266322"/>
            <a:gd name="csY3" fmla="*/ 171856 h 171855"/>
            <a:gd name="csX4" fmla="*/ 0 w 266322"/>
            <a:gd name="csY4" fmla="*/ 85928 h 171855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</a:cxnLst>
          <a:rect l="l" t="t" r="r" b="b"/>
          <a:pathLst>
            <a:path w="266322" h="171855" extrusionOk="0">
              <a:moveTo>
                <a:pt x="0" y="85928"/>
              </a:moveTo>
              <a:cubicBezTo>
                <a:pt x="-1534" y="37525"/>
                <a:pt x="50718" y="3340"/>
                <a:pt x="133161" y="0"/>
              </a:cubicBezTo>
              <a:cubicBezTo>
                <a:pt x="216659" y="2096"/>
                <a:pt x="253388" y="38882"/>
                <a:pt x="266322" y="85928"/>
              </a:cubicBezTo>
              <a:cubicBezTo>
                <a:pt x="252807" y="146583"/>
                <a:pt x="205411" y="179002"/>
                <a:pt x="133161" y="171856"/>
              </a:cubicBezTo>
              <a:cubicBezTo>
                <a:pt x="52505" y="167965"/>
                <a:pt x="5797" y="136155"/>
                <a:pt x="0" y="85928"/>
              </a:cubicBezTo>
              <a:close/>
            </a:path>
          </a:pathLst>
        </a:custGeom>
        <a:noFill/>
        <a:ln w="12700">
          <a:solidFill>
            <a:schemeClr val="tx1">
              <a:lumMod val="65000"/>
              <a:lumOff val="35000"/>
            </a:schemeClr>
          </a:solidFill>
          <a:extLst>
            <a:ext uri="{C807C97D-BFC1-408E-A445-0C87EB9F89A2}">
              <ask:lineSketchStyleProps xmlns:ask="http://schemas.microsoft.com/office/drawing/2018/sketchyshapes" sd="1219033472">
                <a:prstGeom prst="ellipse">
                  <a:avLst/>
                </a:prstGeom>
                <ask:type>
                  <ask:lineSketchScribble/>
                </ask:type>
              </ask:lineSketchStyleProps>
            </a:ext>
          </a:extLst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64</xdr:col>
      <xdr:colOff>5612</xdr:colOff>
      <xdr:row>11</xdr:row>
      <xdr:rowOff>21667</xdr:rowOff>
    </xdr:from>
    <xdr:to>
      <xdr:col>64</xdr:col>
      <xdr:colOff>310529</xdr:colOff>
      <xdr:row>11</xdr:row>
      <xdr:rowOff>193522</xdr:rowOff>
    </xdr:to>
    <xdr:sp macro="" textlink="">
      <xdr:nvSpPr>
        <xdr:cNvPr id="66" name="Oval 65">
          <a:extLst>
            <a:ext uri="{FF2B5EF4-FFF2-40B4-BE49-F238E27FC236}">
              <a16:creationId xmlns:a16="http://schemas.microsoft.com/office/drawing/2014/main" id="{53DF5CA2-48B4-7D4A-88CD-93D88424E98A}"/>
            </a:ext>
          </a:extLst>
        </xdr:cNvPr>
        <xdr:cNvSpPr/>
      </xdr:nvSpPr>
      <xdr:spPr>
        <a:xfrm>
          <a:off x="20414512" y="2396567"/>
          <a:ext cx="304917" cy="171855"/>
        </a:xfrm>
        <a:custGeom>
          <a:avLst/>
          <a:gdLst>
            <a:gd name="csX0" fmla="*/ 0 w 304917"/>
            <a:gd name="csY0" fmla="*/ 85928 h 171855"/>
            <a:gd name="csX1" fmla="*/ 152459 w 304917"/>
            <a:gd name="csY1" fmla="*/ 0 h 171855"/>
            <a:gd name="csX2" fmla="*/ 304918 w 304917"/>
            <a:gd name="csY2" fmla="*/ 85928 h 171855"/>
            <a:gd name="csX3" fmla="*/ 152459 w 304917"/>
            <a:gd name="csY3" fmla="*/ 171856 h 171855"/>
            <a:gd name="csX4" fmla="*/ 0 w 304917"/>
            <a:gd name="csY4" fmla="*/ 85928 h 171855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</a:cxnLst>
          <a:rect l="l" t="t" r="r" b="b"/>
          <a:pathLst>
            <a:path w="304917" h="171855" extrusionOk="0">
              <a:moveTo>
                <a:pt x="0" y="85928"/>
              </a:moveTo>
              <a:cubicBezTo>
                <a:pt x="-4730" y="35553"/>
                <a:pt x="55160" y="4916"/>
                <a:pt x="152459" y="0"/>
              </a:cubicBezTo>
              <a:cubicBezTo>
                <a:pt x="246615" y="2096"/>
                <a:pt x="291984" y="38882"/>
                <a:pt x="304918" y="85928"/>
              </a:cubicBezTo>
              <a:cubicBezTo>
                <a:pt x="293841" y="144203"/>
                <a:pt x="232964" y="192285"/>
                <a:pt x="152459" y="171856"/>
              </a:cubicBezTo>
              <a:cubicBezTo>
                <a:pt x="61145" y="167965"/>
                <a:pt x="5797" y="136155"/>
                <a:pt x="0" y="85928"/>
              </a:cubicBezTo>
              <a:close/>
            </a:path>
          </a:pathLst>
        </a:custGeom>
        <a:noFill/>
        <a:ln w="12700">
          <a:solidFill>
            <a:schemeClr val="tx1">
              <a:lumMod val="65000"/>
              <a:lumOff val="35000"/>
            </a:schemeClr>
          </a:solidFill>
          <a:extLst>
            <a:ext uri="{C807C97D-BFC1-408E-A445-0C87EB9F89A2}">
              <ask:lineSketchStyleProps xmlns:ask="http://schemas.microsoft.com/office/drawing/2018/sketchyshapes" sd="1219033472">
                <a:prstGeom prst="ellipse">
                  <a:avLst/>
                </a:prstGeom>
                <ask:type>
                  <ask:lineSketchScribble/>
                </ask:type>
              </ask:lineSketchStyleProps>
            </a:ext>
          </a:extLst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64</xdr:col>
      <xdr:colOff>28707</xdr:colOff>
      <xdr:row>12</xdr:row>
      <xdr:rowOff>23887</xdr:rowOff>
    </xdr:from>
    <xdr:to>
      <xdr:col>65</xdr:col>
      <xdr:colOff>13555</xdr:colOff>
      <xdr:row>12</xdr:row>
      <xdr:rowOff>195451</xdr:rowOff>
    </xdr:to>
    <xdr:sp macro="" textlink="">
      <xdr:nvSpPr>
        <xdr:cNvPr id="67" name="Oval 66">
          <a:extLst>
            <a:ext uri="{FF2B5EF4-FFF2-40B4-BE49-F238E27FC236}">
              <a16:creationId xmlns:a16="http://schemas.microsoft.com/office/drawing/2014/main" id="{6D0D345F-C27E-3C4A-B806-E3145172E21B}"/>
            </a:ext>
          </a:extLst>
        </xdr:cNvPr>
        <xdr:cNvSpPr/>
      </xdr:nvSpPr>
      <xdr:spPr>
        <a:xfrm>
          <a:off x="20437607" y="2614687"/>
          <a:ext cx="302348" cy="171564"/>
        </a:xfrm>
        <a:custGeom>
          <a:avLst/>
          <a:gdLst>
            <a:gd name="csX0" fmla="*/ 0 w 302348"/>
            <a:gd name="csY0" fmla="*/ 85782 h 171564"/>
            <a:gd name="csX1" fmla="*/ 151174 w 302348"/>
            <a:gd name="csY1" fmla="*/ 0 h 171564"/>
            <a:gd name="csX2" fmla="*/ 302348 w 302348"/>
            <a:gd name="csY2" fmla="*/ 85782 h 171564"/>
            <a:gd name="csX3" fmla="*/ 151174 w 302348"/>
            <a:gd name="csY3" fmla="*/ 171564 h 171564"/>
            <a:gd name="csX4" fmla="*/ 0 w 302348"/>
            <a:gd name="csY4" fmla="*/ 85782 h 171564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</a:cxnLst>
          <a:rect l="l" t="t" r="r" b="b"/>
          <a:pathLst>
            <a:path w="302348" h="171564" extrusionOk="0">
              <a:moveTo>
                <a:pt x="0" y="85782"/>
              </a:moveTo>
              <a:cubicBezTo>
                <a:pt x="-13958" y="29796"/>
                <a:pt x="57204" y="3933"/>
                <a:pt x="151174" y="0"/>
              </a:cubicBezTo>
              <a:cubicBezTo>
                <a:pt x="235820" y="243"/>
                <a:pt x="299152" y="38508"/>
                <a:pt x="302348" y="85782"/>
              </a:cubicBezTo>
              <a:cubicBezTo>
                <a:pt x="299252" y="136181"/>
                <a:pt x="232546" y="183276"/>
                <a:pt x="151174" y="171564"/>
              </a:cubicBezTo>
              <a:cubicBezTo>
                <a:pt x="56390" y="165385"/>
                <a:pt x="2127" y="134174"/>
                <a:pt x="0" y="85782"/>
              </a:cubicBezTo>
              <a:close/>
            </a:path>
          </a:pathLst>
        </a:custGeom>
        <a:noFill/>
        <a:ln w="12700">
          <a:solidFill>
            <a:schemeClr val="tx1">
              <a:lumMod val="65000"/>
              <a:lumOff val="35000"/>
            </a:schemeClr>
          </a:solidFill>
          <a:extLst>
            <a:ext uri="{C807C97D-BFC1-408E-A445-0C87EB9F89A2}">
              <ask:lineSketchStyleProps xmlns:ask="http://schemas.microsoft.com/office/drawing/2018/sketchyshapes" sd="1219033472">
                <a:prstGeom prst="ellipse">
                  <a:avLst/>
                </a:prstGeom>
                <ask:type>
                  <ask:lineSketchScribble/>
                </ask:type>
              </ask:lineSketchStyleProps>
            </a:ext>
          </a:extLst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64</xdr:col>
      <xdr:colOff>9267</xdr:colOff>
      <xdr:row>13</xdr:row>
      <xdr:rowOff>18243</xdr:rowOff>
    </xdr:from>
    <xdr:to>
      <xdr:col>64</xdr:col>
      <xdr:colOff>313091</xdr:colOff>
      <xdr:row>13</xdr:row>
      <xdr:rowOff>190098</xdr:rowOff>
    </xdr:to>
    <xdr:sp macro="" textlink="">
      <xdr:nvSpPr>
        <xdr:cNvPr id="68" name="Oval 67">
          <a:extLst>
            <a:ext uri="{FF2B5EF4-FFF2-40B4-BE49-F238E27FC236}">
              <a16:creationId xmlns:a16="http://schemas.microsoft.com/office/drawing/2014/main" id="{8E148163-CAAC-EE49-90A5-A6426DD55367}"/>
            </a:ext>
          </a:extLst>
        </xdr:cNvPr>
        <xdr:cNvSpPr/>
      </xdr:nvSpPr>
      <xdr:spPr>
        <a:xfrm>
          <a:off x="20418167" y="2824943"/>
          <a:ext cx="303824" cy="171855"/>
        </a:xfrm>
        <a:custGeom>
          <a:avLst/>
          <a:gdLst>
            <a:gd name="csX0" fmla="*/ 0 w 303824"/>
            <a:gd name="csY0" fmla="*/ 85928 h 171855"/>
            <a:gd name="csX1" fmla="*/ 151912 w 303824"/>
            <a:gd name="csY1" fmla="*/ 0 h 171855"/>
            <a:gd name="csX2" fmla="*/ 303824 w 303824"/>
            <a:gd name="csY2" fmla="*/ 85928 h 171855"/>
            <a:gd name="csX3" fmla="*/ 151912 w 303824"/>
            <a:gd name="csY3" fmla="*/ 171856 h 171855"/>
            <a:gd name="csX4" fmla="*/ 0 w 303824"/>
            <a:gd name="csY4" fmla="*/ 85928 h 171855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</a:cxnLst>
          <a:rect l="l" t="t" r="r" b="b"/>
          <a:pathLst>
            <a:path w="303824" h="171855" extrusionOk="0">
              <a:moveTo>
                <a:pt x="0" y="85928"/>
              </a:moveTo>
              <a:cubicBezTo>
                <a:pt x="-5649" y="34987"/>
                <a:pt x="61315" y="2514"/>
                <a:pt x="151912" y="0"/>
              </a:cubicBezTo>
              <a:cubicBezTo>
                <a:pt x="245766" y="2096"/>
                <a:pt x="290890" y="38882"/>
                <a:pt x="303824" y="85928"/>
              </a:cubicBezTo>
              <a:cubicBezTo>
                <a:pt x="287549" y="149278"/>
                <a:pt x="232208" y="191774"/>
                <a:pt x="151912" y="171856"/>
              </a:cubicBezTo>
              <a:cubicBezTo>
                <a:pt x="60900" y="167965"/>
                <a:pt x="5797" y="136155"/>
                <a:pt x="0" y="85928"/>
              </a:cubicBezTo>
              <a:close/>
            </a:path>
          </a:pathLst>
        </a:custGeom>
        <a:noFill/>
        <a:ln w="12700">
          <a:solidFill>
            <a:schemeClr val="tx1">
              <a:lumMod val="65000"/>
              <a:lumOff val="35000"/>
            </a:schemeClr>
          </a:solidFill>
          <a:extLst>
            <a:ext uri="{C807C97D-BFC1-408E-A445-0C87EB9F89A2}">
              <ask:lineSketchStyleProps xmlns:ask="http://schemas.microsoft.com/office/drawing/2018/sketchyshapes" sd="1219033472">
                <a:prstGeom prst="ellipse">
                  <a:avLst/>
                </a:prstGeom>
                <ask:type>
                  <ask:lineSketchScribble/>
                </ask:type>
              </ask:lineSketchStyleProps>
            </a:ext>
          </a:extLst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64</xdr:col>
      <xdr:colOff>9246</xdr:colOff>
      <xdr:row>14</xdr:row>
      <xdr:rowOff>14981</xdr:rowOff>
    </xdr:from>
    <xdr:to>
      <xdr:col>64</xdr:col>
      <xdr:colOff>313070</xdr:colOff>
      <xdr:row>14</xdr:row>
      <xdr:rowOff>186836</xdr:rowOff>
    </xdr:to>
    <xdr:sp macro="" textlink="">
      <xdr:nvSpPr>
        <xdr:cNvPr id="69" name="Oval 68">
          <a:extLst>
            <a:ext uri="{FF2B5EF4-FFF2-40B4-BE49-F238E27FC236}">
              <a16:creationId xmlns:a16="http://schemas.microsoft.com/office/drawing/2014/main" id="{642E106F-4BE7-1244-BC57-E2EE060D8BA0}"/>
            </a:ext>
          </a:extLst>
        </xdr:cNvPr>
        <xdr:cNvSpPr/>
      </xdr:nvSpPr>
      <xdr:spPr>
        <a:xfrm>
          <a:off x="20418146" y="3037581"/>
          <a:ext cx="303824" cy="171855"/>
        </a:xfrm>
        <a:custGeom>
          <a:avLst/>
          <a:gdLst>
            <a:gd name="csX0" fmla="*/ 0 w 303824"/>
            <a:gd name="csY0" fmla="*/ 85928 h 171855"/>
            <a:gd name="csX1" fmla="*/ 151912 w 303824"/>
            <a:gd name="csY1" fmla="*/ 0 h 171855"/>
            <a:gd name="csX2" fmla="*/ 303824 w 303824"/>
            <a:gd name="csY2" fmla="*/ 85928 h 171855"/>
            <a:gd name="csX3" fmla="*/ 151912 w 303824"/>
            <a:gd name="csY3" fmla="*/ 171856 h 171855"/>
            <a:gd name="csX4" fmla="*/ 0 w 303824"/>
            <a:gd name="csY4" fmla="*/ 85928 h 171855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</a:cxnLst>
          <a:rect l="l" t="t" r="r" b="b"/>
          <a:pathLst>
            <a:path w="303824" h="171855" extrusionOk="0">
              <a:moveTo>
                <a:pt x="0" y="85928"/>
              </a:moveTo>
              <a:cubicBezTo>
                <a:pt x="-5649" y="34987"/>
                <a:pt x="61315" y="2514"/>
                <a:pt x="151912" y="0"/>
              </a:cubicBezTo>
              <a:cubicBezTo>
                <a:pt x="245766" y="2096"/>
                <a:pt x="290890" y="38882"/>
                <a:pt x="303824" y="85928"/>
              </a:cubicBezTo>
              <a:cubicBezTo>
                <a:pt x="287549" y="149278"/>
                <a:pt x="232208" y="191774"/>
                <a:pt x="151912" y="171856"/>
              </a:cubicBezTo>
              <a:cubicBezTo>
                <a:pt x="60900" y="167965"/>
                <a:pt x="5797" y="136155"/>
                <a:pt x="0" y="85928"/>
              </a:cubicBezTo>
              <a:close/>
            </a:path>
          </a:pathLst>
        </a:custGeom>
        <a:noFill/>
        <a:ln w="12700">
          <a:solidFill>
            <a:schemeClr val="tx1">
              <a:lumMod val="65000"/>
              <a:lumOff val="35000"/>
            </a:schemeClr>
          </a:solidFill>
          <a:extLst>
            <a:ext uri="{C807C97D-BFC1-408E-A445-0C87EB9F89A2}">
              <ask:lineSketchStyleProps xmlns:ask="http://schemas.microsoft.com/office/drawing/2018/sketchyshapes" sd="1219033472">
                <a:prstGeom prst="ellipse">
                  <a:avLst/>
                </a:prstGeom>
                <ask:type>
                  <ask:lineSketchScribble/>
                </ask:type>
              </ask:lineSketchStyleProps>
            </a:ext>
          </a:extLst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28</xdr:col>
      <xdr:colOff>104240</xdr:colOff>
      <xdr:row>24</xdr:row>
      <xdr:rowOff>129480</xdr:rowOff>
    </xdr:from>
    <xdr:to>
      <xdr:col>28</xdr:col>
      <xdr:colOff>104600</xdr:colOff>
      <xdr:row>24</xdr:row>
      <xdr:rowOff>129840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108" name="Ink 107">
              <a:extLst>
                <a:ext uri="{FF2B5EF4-FFF2-40B4-BE49-F238E27FC236}">
                  <a16:creationId xmlns:a16="http://schemas.microsoft.com/office/drawing/2014/main" id="{24EB100F-3126-DC46-D064-F11CF6B6BD05}"/>
                </a:ext>
              </a:extLst>
            </xdr14:cNvPr>
            <xdr14:cNvContentPartPr/>
          </xdr14:nvContentPartPr>
          <xdr14:nvPr macro=""/>
          <xdr14:xfrm>
            <a:off x="8994240" y="5311080"/>
            <a:ext cx="360" cy="360"/>
          </xdr14:xfrm>
        </xdr:contentPart>
      </mc:Choice>
      <mc:Fallback xmlns="">
        <xdr:pic>
          <xdr:nvPicPr>
            <xdr:cNvPr id="108" name="Ink 107">
              <a:extLst>
                <a:ext uri="{FF2B5EF4-FFF2-40B4-BE49-F238E27FC236}">
                  <a16:creationId xmlns:a16="http://schemas.microsoft.com/office/drawing/2014/main" id="{24EB100F-3126-DC46-D064-F11CF6B6BD05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8958600" y="5239080"/>
              <a:ext cx="72000" cy="1440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46</xdr:col>
      <xdr:colOff>50721</xdr:colOff>
      <xdr:row>5</xdr:row>
      <xdr:rowOff>31432</xdr:rowOff>
    </xdr:from>
    <xdr:to>
      <xdr:col>46</xdr:col>
      <xdr:colOff>317500</xdr:colOff>
      <xdr:row>5</xdr:row>
      <xdr:rowOff>187470</xdr:rowOff>
    </xdr:to>
    <xdr:sp macro="" textlink="">
      <xdr:nvSpPr>
        <xdr:cNvPr id="2" name="Oval 1">
          <a:extLst>
            <a:ext uri="{FF2B5EF4-FFF2-40B4-BE49-F238E27FC236}">
              <a16:creationId xmlns:a16="http://schemas.microsoft.com/office/drawing/2014/main" id="{8127E204-6B43-E549-AE01-66CFF171E804}"/>
            </a:ext>
          </a:extLst>
        </xdr:cNvPr>
        <xdr:cNvSpPr/>
      </xdr:nvSpPr>
      <xdr:spPr>
        <a:xfrm>
          <a:off x="15062121" y="1542732"/>
          <a:ext cx="266779" cy="156038"/>
        </a:xfrm>
        <a:custGeom>
          <a:avLst/>
          <a:gdLst>
            <a:gd name="csX0" fmla="*/ 0 w 266779"/>
            <a:gd name="csY0" fmla="*/ 78019 h 156038"/>
            <a:gd name="csX1" fmla="*/ 133390 w 266779"/>
            <a:gd name="csY1" fmla="*/ 0 h 156038"/>
            <a:gd name="csX2" fmla="*/ 266780 w 266779"/>
            <a:gd name="csY2" fmla="*/ 78019 h 156038"/>
            <a:gd name="csX3" fmla="*/ 133390 w 266779"/>
            <a:gd name="csY3" fmla="*/ 156038 h 156038"/>
            <a:gd name="csX4" fmla="*/ 0 w 266779"/>
            <a:gd name="csY4" fmla="*/ 78019 h 156038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</a:cxnLst>
          <a:rect l="l" t="t" r="r" b="b"/>
          <a:pathLst>
            <a:path w="266779" h="156038" fill="none" extrusionOk="0">
              <a:moveTo>
                <a:pt x="0" y="78019"/>
              </a:moveTo>
              <a:cubicBezTo>
                <a:pt x="15603" y="36781"/>
                <a:pt x="61482" y="-3624"/>
                <a:pt x="133390" y="0"/>
              </a:cubicBezTo>
              <a:cubicBezTo>
                <a:pt x="199678" y="-1130"/>
                <a:pt x="264027" y="37522"/>
                <a:pt x="266780" y="78019"/>
              </a:cubicBezTo>
              <a:cubicBezTo>
                <a:pt x="265132" y="105389"/>
                <a:pt x="201759" y="163404"/>
                <a:pt x="133390" y="156038"/>
              </a:cubicBezTo>
              <a:cubicBezTo>
                <a:pt x="70600" y="162128"/>
                <a:pt x="7483" y="122907"/>
                <a:pt x="0" y="78019"/>
              </a:cubicBezTo>
              <a:close/>
            </a:path>
            <a:path w="266779" h="156038" stroke="0" extrusionOk="0">
              <a:moveTo>
                <a:pt x="0" y="78019"/>
              </a:moveTo>
              <a:cubicBezTo>
                <a:pt x="-6368" y="31002"/>
                <a:pt x="55357" y="1638"/>
                <a:pt x="133390" y="0"/>
              </a:cubicBezTo>
              <a:cubicBezTo>
                <a:pt x="216465" y="1980"/>
                <a:pt x="258066" y="35207"/>
                <a:pt x="266780" y="78019"/>
              </a:cubicBezTo>
              <a:cubicBezTo>
                <a:pt x="260716" y="127030"/>
                <a:pt x="203926" y="173356"/>
                <a:pt x="133390" y="156038"/>
              </a:cubicBezTo>
              <a:cubicBezTo>
                <a:pt x="50995" y="151264"/>
                <a:pt x="7064" y="124483"/>
                <a:pt x="0" y="78019"/>
              </a:cubicBezTo>
              <a:close/>
            </a:path>
          </a:pathLst>
        </a:custGeom>
        <a:solidFill>
          <a:schemeClr val="bg2">
            <a:lumMod val="90000"/>
            <a:alpha val="46000"/>
          </a:schemeClr>
        </a:solidFill>
        <a:ln w="9525">
          <a:solidFill>
            <a:schemeClr val="tx1">
              <a:lumMod val="65000"/>
              <a:lumOff val="35000"/>
            </a:schemeClr>
          </a:solidFill>
          <a:extLst>
            <a:ext uri="{C807C97D-BFC1-408E-A445-0C87EB9F89A2}">
              <ask:lineSketchStyleProps xmlns:ask="http://schemas.microsoft.com/office/drawing/2018/sketchyshapes" sd="1219033472">
                <a:prstGeom prst="ellipse">
                  <a:avLst/>
                </a:prstGeom>
                <ask:type>
                  <ask:lineSketchScribble/>
                </ask:type>
              </ask:lineSketchStyleProps>
            </a:ext>
          </a:extLst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46</xdr:col>
      <xdr:colOff>49905</xdr:colOff>
      <xdr:row>6</xdr:row>
      <xdr:rowOff>46345</xdr:rowOff>
    </xdr:from>
    <xdr:to>
      <xdr:col>46</xdr:col>
      <xdr:colOff>315731</xdr:colOff>
      <xdr:row>7</xdr:row>
      <xdr:rowOff>9537</xdr:rowOff>
    </xdr:to>
    <xdr:sp macro="" textlink="">
      <xdr:nvSpPr>
        <xdr:cNvPr id="3" name="Oval 2">
          <a:extLst>
            <a:ext uri="{FF2B5EF4-FFF2-40B4-BE49-F238E27FC236}">
              <a16:creationId xmlns:a16="http://schemas.microsoft.com/office/drawing/2014/main" id="{46013DA1-9F7B-3545-9714-CB6C5B804161}"/>
            </a:ext>
          </a:extLst>
        </xdr:cNvPr>
        <xdr:cNvSpPr/>
      </xdr:nvSpPr>
      <xdr:spPr>
        <a:xfrm>
          <a:off x="15061305" y="1773545"/>
          <a:ext cx="265826" cy="179092"/>
        </a:xfrm>
        <a:custGeom>
          <a:avLst/>
          <a:gdLst>
            <a:gd name="csX0" fmla="*/ 0 w 265826"/>
            <a:gd name="csY0" fmla="*/ 89546 h 179092"/>
            <a:gd name="csX1" fmla="*/ 132913 w 265826"/>
            <a:gd name="csY1" fmla="*/ 0 h 179092"/>
            <a:gd name="csX2" fmla="*/ 265826 w 265826"/>
            <a:gd name="csY2" fmla="*/ 89546 h 179092"/>
            <a:gd name="csX3" fmla="*/ 132913 w 265826"/>
            <a:gd name="csY3" fmla="*/ 179092 h 179092"/>
            <a:gd name="csX4" fmla="*/ 0 w 265826"/>
            <a:gd name="csY4" fmla="*/ 89546 h 179092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</a:cxnLst>
          <a:rect l="l" t="t" r="r" b="b"/>
          <a:pathLst>
            <a:path w="265826" h="179092" fill="none" extrusionOk="0">
              <a:moveTo>
                <a:pt x="0" y="89546"/>
              </a:moveTo>
              <a:cubicBezTo>
                <a:pt x="19847" y="42445"/>
                <a:pt x="64029" y="-9306"/>
                <a:pt x="132913" y="0"/>
              </a:cubicBezTo>
              <a:cubicBezTo>
                <a:pt x="194815" y="-1762"/>
                <a:pt x="261716" y="43961"/>
                <a:pt x="265826" y="89546"/>
              </a:cubicBezTo>
              <a:cubicBezTo>
                <a:pt x="264095" y="122490"/>
                <a:pt x="198332" y="190192"/>
                <a:pt x="132913" y="179092"/>
              </a:cubicBezTo>
              <a:cubicBezTo>
                <a:pt x="67687" y="183672"/>
                <a:pt x="6906" y="140661"/>
                <a:pt x="0" y="89546"/>
              </a:cubicBezTo>
              <a:close/>
            </a:path>
            <a:path w="265826" h="179092" stroke="0" extrusionOk="0">
              <a:moveTo>
                <a:pt x="0" y="89546"/>
              </a:moveTo>
              <a:cubicBezTo>
                <a:pt x="-9710" y="34102"/>
                <a:pt x="50600" y="3343"/>
                <a:pt x="132913" y="0"/>
              </a:cubicBezTo>
              <a:cubicBezTo>
                <a:pt x="213532" y="1518"/>
                <a:pt x="257288" y="40362"/>
                <a:pt x="265826" y="89546"/>
              </a:cubicBezTo>
              <a:cubicBezTo>
                <a:pt x="263730" y="141048"/>
                <a:pt x="204973" y="186533"/>
                <a:pt x="132913" y="179092"/>
              </a:cubicBezTo>
              <a:cubicBezTo>
                <a:pt x="52762" y="175402"/>
                <a:pt x="9991" y="143775"/>
                <a:pt x="0" y="89546"/>
              </a:cubicBezTo>
              <a:close/>
            </a:path>
          </a:pathLst>
        </a:custGeom>
        <a:solidFill>
          <a:schemeClr val="bg2">
            <a:lumMod val="90000"/>
            <a:alpha val="46000"/>
          </a:schemeClr>
        </a:solidFill>
        <a:ln w="9525">
          <a:solidFill>
            <a:schemeClr val="tx1">
              <a:lumMod val="65000"/>
              <a:lumOff val="35000"/>
            </a:schemeClr>
          </a:solidFill>
          <a:extLst>
            <a:ext uri="{C807C97D-BFC1-408E-A445-0C87EB9F89A2}">
              <ask:lineSketchStyleProps xmlns:ask="http://schemas.microsoft.com/office/drawing/2018/sketchyshapes" sd="1219033472">
                <a:prstGeom prst="ellipse">
                  <a:avLst/>
                </a:prstGeom>
                <ask:type>
                  <ask:lineSketchScribble/>
                </ask:type>
              </ask:lineSketchStyleProps>
            </a:ext>
          </a:extLst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46</xdr:col>
      <xdr:colOff>50472</xdr:colOff>
      <xdr:row>7</xdr:row>
      <xdr:rowOff>30684</xdr:rowOff>
    </xdr:from>
    <xdr:to>
      <xdr:col>46</xdr:col>
      <xdr:colOff>318083</xdr:colOff>
      <xdr:row>7</xdr:row>
      <xdr:rowOff>186722</xdr:rowOff>
    </xdr:to>
    <xdr:sp macro="" textlink="">
      <xdr:nvSpPr>
        <xdr:cNvPr id="4" name="Oval 3">
          <a:extLst>
            <a:ext uri="{FF2B5EF4-FFF2-40B4-BE49-F238E27FC236}">
              <a16:creationId xmlns:a16="http://schemas.microsoft.com/office/drawing/2014/main" id="{BFA69620-0F52-9048-844A-36D9AD67CD9F}"/>
            </a:ext>
          </a:extLst>
        </xdr:cNvPr>
        <xdr:cNvSpPr/>
      </xdr:nvSpPr>
      <xdr:spPr>
        <a:xfrm>
          <a:off x="15061872" y="1973784"/>
          <a:ext cx="267611" cy="156038"/>
        </a:xfrm>
        <a:custGeom>
          <a:avLst/>
          <a:gdLst>
            <a:gd name="csX0" fmla="*/ 0 w 267611"/>
            <a:gd name="csY0" fmla="*/ 78019 h 156038"/>
            <a:gd name="csX1" fmla="*/ 133806 w 267611"/>
            <a:gd name="csY1" fmla="*/ 0 h 156038"/>
            <a:gd name="csX2" fmla="*/ 267612 w 267611"/>
            <a:gd name="csY2" fmla="*/ 78019 h 156038"/>
            <a:gd name="csX3" fmla="*/ 133806 w 267611"/>
            <a:gd name="csY3" fmla="*/ 156038 h 156038"/>
            <a:gd name="csX4" fmla="*/ 0 w 267611"/>
            <a:gd name="csY4" fmla="*/ 78019 h 156038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</a:cxnLst>
          <a:rect l="l" t="t" r="r" b="b"/>
          <a:pathLst>
            <a:path w="267611" h="156038" fill="none" extrusionOk="0">
              <a:moveTo>
                <a:pt x="0" y="78019"/>
              </a:moveTo>
              <a:cubicBezTo>
                <a:pt x="16223" y="36855"/>
                <a:pt x="68180" y="-17026"/>
                <a:pt x="133806" y="0"/>
              </a:cubicBezTo>
              <a:cubicBezTo>
                <a:pt x="200324" y="-1130"/>
                <a:pt x="264859" y="37522"/>
                <a:pt x="267612" y="78019"/>
              </a:cubicBezTo>
              <a:cubicBezTo>
                <a:pt x="266091" y="106599"/>
                <a:pt x="206351" y="157920"/>
                <a:pt x="133806" y="156038"/>
              </a:cubicBezTo>
              <a:cubicBezTo>
                <a:pt x="70786" y="162128"/>
                <a:pt x="7483" y="122907"/>
                <a:pt x="0" y="78019"/>
              </a:cubicBezTo>
              <a:close/>
            </a:path>
            <a:path w="267611" h="156038" stroke="0" extrusionOk="0">
              <a:moveTo>
                <a:pt x="0" y="78019"/>
              </a:moveTo>
              <a:cubicBezTo>
                <a:pt x="-11468" y="27856"/>
                <a:pt x="45259" y="5498"/>
                <a:pt x="133806" y="0"/>
              </a:cubicBezTo>
              <a:cubicBezTo>
                <a:pt x="217111" y="1980"/>
                <a:pt x="258898" y="35207"/>
                <a:pt x="267612" y="78019"/>
              </a:cubicBezTo>
              <a:cubicBezTo>
                <a:pt x="260854" y="127708"/>
                <a:pt x="205677" y="167247"/>
                <a:pt x="133806" y="156038"/>
              </a:cubicBezTo>
              <a:cubicBezTo>
                <a:pt x="51181" y="151264"/>
                <a:pt x="7064" y="124483"/>
                <a:pt x="0" y="78019"/>
              </a:cubicBezTo>
              <a:close/>
            </a:path>
          </a:pathLst>
        </a:custGeom>
        <a:solidFill>
          <a:schemeClr val="bg2">
            <a:lumMod val="90000"/>
            <a:alpha val="46000"/>
          </a:schemeClr>
        </a:solidFill>
        <a:ln w="9525">
          <a:solidFill>
            <a:schemeClr val="tx1">
              <a:lumMod val="65000"/>
              <a:lumOff val="35000"/>
            </a:schemeClr>
          </a:solidFill>
          <a:extLst>
            <a:ext uri="{C807C97D-BFC1-408E-A445-0C87EB9F89A2}">
              <ask:lineSketchStyleProps xmlns:ask="http://schemas.microsoft.com/office/drawing/2018/sketchyshapes" sd="1219033472">
                <a:prstGeom prst="ellipse">
                  <a:avLst/>
                </a:prstGeom>
                <ask:type>
                  <ask:lineSketchScribble/>
                </ask:type>
              </ask:lineSketchStyleProps>
            </a:ext>
          </a:extLst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46</xdr:col>
      <xdr:colOff>44880</xdr:colOff>
      <xdr:row>10</xdr:row>
      <xdr:rowOff>35469</xdr:rowOff>
    </xdr:from>
    <xdr:to>
      <xdr:col>46</xdr:col>
      <xdr:colOff>309989</xdr:colOff>
      <xdr:row>10</xdr:row>
      <xdr:rowOff>191386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4DDE4CC1-8CB1-3247-80F3-E8C4C758215F}"/>
            </a:ext>
          </a:extLst>
        </xdr:cNvPr>
        <xdr:cNvSpPr/>
      </xdr:nvSpPr>
      <xdr:spPr>
        <a:xfrm>
          <a:off x="15056280" y="2626269"/>
          <a:ext cx="265109" cy="155917"/>
        </a:xfrm>
        <a:custGeom>
          <a:avLst/>
          <a:gdLst>
            <a:gd name="csX0" fmla="*/ 0 w 265109"/>
            <a:gd name="csY0" fmla="*/ 77959 h 155917"/>
            <a:gd name="csX1" fmla="*/ 132555 w 265109"/>
            <a:gd name="csY1" fmla="*/ 0 h 155917"/>
            <a:gd name="csX2" fmla="*/ 265110 w 265109"/>
            <a:gd name="csY2" fmla="*/ 77959 h 155917"/>
            <a:gd name="csX3" fmla="*/ 132555 w 265109"/>
            <a:gd name="csY3" fmla="*/ 155918 h 155917"/>
            <a:gd name="csX4" fmla="*/ 0 w 265109"/>
            <a:gd name="csY4" fmla="*/ 77959 h 155917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</a:cxnLst>
          <a:rect l="l" t="t" r="r" b="b"/>
          <a:pathLst>
            <a:path w="265109" h="155917" fill="none" extrusionOk="0">
              <a:moveTo>
                <a:pt x="0" y="77959"/>
              </a:moveTo>
              <a:cubicBezTo>
                <a:pt x="6014" y="35616"/>
                <a:pt x="66456" y="-14630"/>
                <a:pt x="132555" y="0"/>
              </a:cubicBezTo>
              <a:cubicBezTo>
                <a:pt x="194075" y="-1790"/>
                <a:pt x="263885" y="36056"/>
                <a:pt x="265110" y="77959"/>
              </a:cubicBezTo>
              <a:cubicBezTo>
                <a:pt x="263283" y="103593"/>
                <a:pt x="201714" y="161545"/>
                <a:pt x="132555" y="155918"/>
              </a:cubicBezTo>
              <a:cubicBezTo>
                <a:pt x="64787" y="158964"/>
                <a:pt x="4980" y="122212"/>
                <a:pt x="0" y="77959"/>
              </a:cubicBezTo>
              <a:close/>
            </a:path>
            <a:path w="265109" h="155917" stroke="0" extrusionOk="0">
              <a:moveTo>
                <a:pt x="0" y="77959"/>
              </a:moveTo>
              <a:cubicBezTo>
                <a:pt x="-17015" y="24408"/>
                <a:pt x="52273" y="2655"/>
                <a:pt x="132555" y="0"/>
              </a:cubicBezTo>
              <a:cubicBezTo>
                <a:pt x="215143" y="1975"/>
                <a:pt x="255954" y="35194"/>
                <a:pt x="265110" y="77959"/>
              </a:cubicBezTo>
              <a:cubicBezTo>
                <a:pt x="252132" y="133688"/>
                <a:pt x="202917" y="171646"/>
                <a:pt x="132555" y="155918"/>
              </a:cubicBezTo>
              <a:cubicBezTo>
                <a:pt x="55720" y="153934"/>
                <a:pt x="3094" y="122493"/>
                <a:pt x="0" y="77959"/>
              </a:cubicBezTo>
              <a:close/>
            </a:path>
          </a:pathLst>
        </a:custGeom>
        <a:solidFill>
          <a:schemeClr val="bg2">
            <a:lumMod val="90000"/>
            <a:alpha val="46000"/>
          </a:schemeClr>
        </a:solidFill>
        <a:ln w="9525">
          <a:solidFill>
            <a:schemeClr val="tx1">
              <a:lumMod val="65000"/>
              <a:lumOff val="35000"/>
            </a:schemeClr>
          </a:solidFill>
          <a:extLst>
            <a:ext uri="{C807C97D-BFC1-408E-A445-0C87EB9F89A2}">
              <ask:lineSketchStyleProps xmlns:ask="http://schemas.microsoft.com/office/drawing/2018/sketchyshapes" sd="1219033472">
                <a:prstGeom prst="ellipse">
                  <a:avLst/>
                </a:prstGeom>
                <ask:type>
                  <ask:lineSketchScribble/>
                </ask:type>
              </ask:lineSketchStyleProps>
            </a:ext>
          </a:extLst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46</xdr:col>
      <xdr:colOff>64913</xdr:colOff>
      <xdr:row>11</xdr:row>
      <xdr:rowOff>26086</xdr:rowOff>
    </xdr:from>
    <xdr:to>
      <xdr:col>47</xdr:col>
      <xdr:colOff>2829</xdr:colOff>
      <xdr:row>11</xdr:row>
      <xdr:rowOff>182267</xdr:rowOff>
    </xdr:to>
    <xdr:sp macro="" textlink="">
      <xdr:nvSpPr>
        <xdr:cNvPr id="6" name="Oval 5">
          <a:extLst>
            <a:ext uri="{FF2B5EF4-FFF2-40B4-BE49-F238E27FC236}">
              <a16:creationId xmlns:a16="http://schemas.microsoft.com/office/drawing/2014/main" id="{AB537929-178B-A841-BDB6-043E117FA105}"/>
            </a:ext>
          </a:extLst>
        </xdr:cNvPr>
        <xdr:cNvSpPr/>
      </xdr:nvSpPr>
      <xdr:spPr>
        <a:xfrm>
          <a:off x="15076313" y="2832786"/>
          <a:ext cx="268116" cy="156181"/>
        </a:xfrm>
        <a:custGeom>
          <a:avLst/>
          <a:gdLst>
            <a:gd name="csX0" fmla="*/ 0 w 268116"/>
            <a:gd name="csY0" fmla="*/ 78091 h 156181"/>
            <a:gd name="csX1" fmla="*/ 134058 w 268116"/>
            <a:gd name="csY1" fmla="*/ 0 h 156181"/>
            <a:gd name="csX2" fmla="*/ 268116 w 268116"/>
            <a:gd name="csY2" fmla="*/ 78091 h 156181"/>
            <a:gd name="csX3" fmla="*/ 134058 w 268116"/>
            <a:gd name="csY3" fmla="*/ 156182 h 156181"/>
            <a:gd name="csX4" fmla="*/ 0 w 268116"/>
            <a:gd name="csY4" fmla="*/ 78091 h 156181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</a:cxnLst>
          <a:rect l="l" t="t" r="r" b="b"/>
          <a:pathLst>
            <a:path w="268116" h="156181" fill="none" extrusionOk="0">
              <a:moveTo>
                <a:pt x="0" y="78091"/>
              </a:moveTo>
              <a:cubicBezTo>
                <a:pt x="10971" y="36265"/>
                <a:pt x="64676" y="-9582"/>
                <a:pt x="134058" y="0"/>
              </a:cubicBezTo>
              <a:cubicBezTo>
                <a:pt x="201933" y="-944"/>
                <a:pt x="260650" y="41992"/>
                <a:pt x="268116" y="78091"/>
              </a:cubicBezTo>
              <a:cubicBezTo>
                <a:pt x="266447" y="105301"/>
                <a:pt x="206444" y="158477"/>
                <a:pt x="134058" y="156182"/>
              </a:cubicBezTo>
              <a:cubicBezTo>
                <a:pt x="61242" y="156866"/>
                <a:pt x="1370" y="121548"/>
                <a:pt x="0" y="78091"/>
              </a:cubicBezTo>
              <a:close/>
            </a:path>
            <a:path w="268116" h="156181" stroke="0" extrusionOk="0">
              <a:moveTo>
                <a:pt x="0" y="78091"/>
              </a:moveTo>
              <a:cubicBezTo>
                <a:pt x="-13584" y="26584"/>
                <a:pt x="58178" y="691"/>
                <a:pt x="134058" y="0"/>
              </a:cubicBezTo>
              <a:cubicBezTo>
                <a:pt x="210777" y="564"/>
                <a:pt x="256176" y="35343"/>
                <a:pt x="268116" y="78091"/>
              </a:cubicBezTo>
              <a:cubicBezTo>
                <a:pt x="260216" y="128934"/>
                <a:pt x="204613" y="175436"/>
                <a:pt x="134058" y="156182"/>
              </a:cubicBezTo>
              <a:cubicBezTo>
                <a:pt x="51030" y="151263"/>
                <a:pt x="8725" y="125388"/>
                <a:pt x="0" y="78091"/>
              </a:cubicBezTo>
              <a:close/>
            </a:path>
          </a:pathLst>
        </a:custGeom>
        <a:solidFill>
          <a:schemeClr val="bg2">
            <a:lumMod val="90000"/>
            <a:alpha val="46000"/>
          </a:schemeClr>
        </a:solidFill>
        <a:ln w="9525">
          <a:solidFill>
            <a:schemeClr val="tx1">
              <a:lumMod val="65000"/>
              <a:lumOff val="35000"/>
            </a:schemeClr>
          </a:solidFill>
          <a:extLst>
            <a:ext uri="{C807C97D-BFC1-408E-A445-0C87EB9F89A2}">
              <ask:lineSketchStyleProps xmlns:ask="http://schemas.microsoft.com/office/drawing/2018/sketchyshapes" sd="1219033472">
                <a:prstGeom prst="ellipse">
                  <a:avLst/>
                </a:prstGeom>
                <ask:type>
                  <ask:lineSketchScribble/>
                </ask:type>
              </ask:lineSketchStyleProps>
            </a:ext>
          </a:extLst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46</xdr:col>
      <xdr:colOff>50204</xdr:colOff>
      <xdr:row>12</xdr:row>
      <xdr:rowOff>27500</xdr:rowOff>
    </xdr:from>
    <xdr:to>
      <xdr:col>46</xdr:col>
      <xdr:colOff>315313</xdr:colOff>
      <xdr:row>12</xdr:row>
      <xdr:rowOff>181460</xdr:rowOff>
    </xdr:to>
    <xdr:sp macro="" textlink="">
      <xdr:nvSpPr>
        <xdr:cNvPr id="7" name="Oval 6">
          <a:extLst>
            <a:ext uri="{FF2B5EF4-FFF2-40B4-BE49-F238E27FC236}">
              <a16:creationId xmlns:a16="http://schemas.microsoft.com/office/drawing/2014/main" id="{207E1F6A-9766-D442-BF8C-6F130BDA66B7}"/>
            </a:ext>
          </a:extLst>
        </xdr:cNvPr>
        <xdr:cNvSpPr/>
      </xdr:nvSpPr>
      <xdr:spPr>
        <a:xfrm>
          <a:off x="15061604" y="3050100"/>
          <a:ext cx="265109" cy="153960"/>
        </a:xfrm>
        <a:custGeom>
          <a:avLst/>
          <a:gdLst>
            <a:gd name="csX0" fmla="*/ 0 w 265109"/>
            <a:gd name="csY0" fmla="*/ 76980 h 153960"/>
            <a:gd name="csX1" fmla="*/ 132555 w 265109"/>
            <a:gd name="csY1" fmla="*/ 0 h 153960"/>
            <a:gd name="csX2" fmla="*/ 265110 w 265109"/>
            <a:gd name="csY2" fmla="*/ 76980 h 153960"/>
            <a:gd name="csX3" fmla="*/ 132555 w 265109"/>
            <a:gd name="csY3" fmla="*/ 153960 h 153960"/>
            <a:gd name="csX4" fmla="*/ 0 w 265109"/>
            <a:gd name="csY4" fmla="*/ 76980 h 153960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</a:cxnLst>
          <a:rect l="l" t="t" r="r" b="b"/>
          <a:pathLst>
            <a:path w="265109" h="153960" fill="none" extrusionOk="0">
              <a:moveTo>
                <a:pt x="0" y="76980"/>
              </a:moveTo>
              <a:cubicBezTo>
                <a:pt x="10710" y="35736"/>
                <a:pt x="66318" y="-14347"/>
                <a:pt x="132555" y="0"/>
              </a:cubicBezTo>
              <a:cubicBezTo>
                <a:pt x="199476" y="-963"/>
                <a:pt x="256472" y="42597"/>
                <a:pt x="265110" y="76980"/>
              </a:cubicBezTo>
              <a:cubicBezTo>
                <a:pt x="263053" y="99883"/>
                <a:pt x="195651" y="168012"/>
                <a:pt x="132555" y="153960"/>
              </a:cubicBezTo>
              <a:cubicBezTo>
                <a:pt x="64735" y="156976"/>
                <a:pt x="3639" y="120370"/>
                <a:pt x="0" y="76980"/>
              </a:cubicBezTo>
              <a:close/>
            </a:path>
            <a:path w="265109" h="153960" stroke="0" extrusionOk="0">
              <a:moveTo>
                <a:pt x="0" y="76980"/>
              </a:moveTo>
              <a:cubicBezTo>
                <a:pt x="-10484" y="27998"/>
                <a:pt x="54116" y="1963"/>
                <a:pt x="132555" y="0"/>
              </a:cubicBezTo>
              <a:cubicBezTo>
                <a:pt x="210004" y="893"/>
                <a:pt x="254497" y="34802"/>
                <a:pt x="265110" y="76980"/>
              </a:cubicBezTo>
              <a:cubicBezTo>
                <a:pt x="254847" y="129517"/>
                <a:pt x="202629" y="171280"/>
                <a:pt x="132555" y="153960"/>
              </a:cubicBezTo>
              <a:cubicBezTo>
                <a:pt x="49773" y="148722"/>
                <a:pt x="2872" y="120867"/>
                <a:pt x="0" y="76980"/>
              </a:cubicBezTo>
              <a:close/>
            </a:path>
          </a:pathLst>
        </a:custGeom>
        <a:solidFill>
          <a:schemeClr val="bg2">
            <a:lumMod val="90000"/>
            <a:alpha val="46000"/>
          </a:schemeClr>
        </a:solidFill>
        <a:ln w="9525">
          <a:solidFill>
            <a:schemeClr val="tx1">
              <a:lumMod val="65000"/>
              <a:lumOff val="35000"/>
            </a:schemeClr>
          </a:solidFill>
          <a:extLst>
            <a:ext uri="{C807C97D-BFC1-408E-A445-0C87EB9F89A2}">
              <ask:lineSketchStyleProps xmlns:ask="http://schemas.microsoft.com/office/drawing/2018/sketchyshapes" sd="1219033472">
                <a:prstGeom prst="ellipse">
                  <a:avLst/>
                </a:prstGeom>
                <ask:type>
                  <ask:lineSketchScribble/>
                </ask:type>
              </ask:lineSketchStyleProps>
            </a:ext>
          </a:extLst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46</xdr:col>
      <xdr:colOff>45711</xdr:colOff>
      <xdr:row>13</xdr:row>
      <xdr:rowOff>44212</xdr:rowOff>
    </xdr:from>
    <xdr:to>
      <xdr:col>46</xdr:col>
      <xdr:colOff>310820</xdr:colOff>
      <xdr:row>14</xdr:row>
      <xdr:rowOff>7811</xdr:rowOff>
    </xdr:to>
    <xdr:sp macro="" textlink="">
      <xdr:nvSpPr>
        <xdr:cNvPr id="8" name="Oval 7">
          <a:extLst>
            <a:ext uri="{FF2B5EF4-FFF2-40B4-BE49-F238E27FC236}">
              <a16:creationId xmlns:a16="http://schemas.microsoft.com/office/drawing/2014/main" id="{C6103586-BA53-1F49-8ED9-7C7BF012A7A2}"/>
            </a:ext>
          </a:extLst>
        </xdr:cNvPr>
        <xdr:cNvSpPr/>
      </xdr:nvSpPr>
      <xdr:spPr>
        <a:xfrm>
          <a:off x="15057111" y="3282712"/>
          <a:ext cx="265109" cy="179499"/>
        </a:xfrm>
        <a:custGeom>
          <a:avLst/>
          <a:gdLst>
            <a:gd name="csX0" fmla="*/ 0 w 265109"/>
            <a:gd name="csY0" fmla="*/ 89750 h 179499"/>
            <a:gd name="csX1" fmla="*/ 132555 w 265109"/>
            <a:gd name="csY1" fmla="*/ 0 h 179499"/>
            <a:gd name="csX2" fmla="*/ 265110 w 265109"/>
            <a:gd name="csY2" fmla="*/ 89750 h 179499"/>
            <a:gd name="csX3" fmla="*/ 132555 w 265109"/>
            <a:gd name="csY3" fmla="*/ 179500 h 179499"/>
            <a:gd name="csX4" fmla="*/ 0 w 265109"/>
            <a:gd name="csY4" fmla="*/ 89750 h 179499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</a:cxnLst>
          <a:rect l="l" t="t" r="r" b="b"/>
          <a:pathLst>
            <a:path w="265109" h="179499" fill="none" extrusionOk="0">
              <a:moveTo>
                <a:pt x="0" y="89750"/>
              </a:moveTo>
              <a:cubicBezTo>
                <a:pt x="16308" y="42117"/>
                <a:pt x="67523" y="-16827"/>
                <a:pt x="132555" y="0"/>
              </a:cubicBezTo>
              <a:cubicBezTo>
                <a:pt x="201739" y="-616"/>
                <a:pt x="256021" y="48739"/>
                <a:pt x="265110" y="89750"/>
              </a:cubicBezTo>
              <a:cubicBezTo>
                <a:pt x="264834" y="136681"/>
                <a:pt x="202922" y="183449"/>
                <a:pt x="132555" y="179500"/>
              </a:cubicBezTo>
              <a:cubicBezTo>
                <a:pt x="67421" y="184020"/>
                <a:pt x="5631" y="140672"/>
                <a:pt x="0" y="89750"/>
              </a:cubicBezTo>
              <a:close/>
            </a:path>
            <a:path w="265109" h="179499" stroke="0" extrusionOk="0">
              <a:moveTo>
                <a:pt x="0" y="89750"/>
              </a:moveTo>
              <a:cubicBezTo>
                <a:pt x="-15906" y="30371"/>
                <a:pt x="47419" y="4477"/>
                <a:pt x="132555" y="0"/>
              </a:cubicBezTo>
              <a:cubicBezTo>
                <a:pt x="218926" y="2771"/>
                <a:pt x="253449" y="40553"/>
                <a:pt x="265110" y="89750"/>
              </a:cubicBezTo>
              <a:cubicBezTo>
                <a:pt x="256480" y="147745"/>
                <a:pt x="203685" y="190986"/>
                <a:pt x="132555" y="179500"/>
              </a:cubicBezTo>
              <a:cubicBezTo>
                <a:pt x="54669" y="176941"/>
                <a:pt x="11099" y="144621"/>
                <a:pt x="0" y="89750"/>
              </a:cubicBezTo>
              <a:close/>
            </a:path>
          </a:pathLst>
        </a:custGeom>
        <a:solidFill>
          <a:schemeClr val="bg2">
            <a:lumMod val="90000"/>
            <a:alpha val="46000"/>
          </a:schemeClr>
        </a:solidFill>
        <a:ln w="9525">
          <a:solidFill>
            <a:schemeClr val="tx1">
              <a:lumMod val="65000"/>
              <a:lumOff val="35000"/>
            </a:schemeClr>
          </a:solidFill>
          <a:extLst>
            <a:ext uri="{C807C97D-BFC1-408E-A445-0C87EB9F89A2}">
              <ask:lineSketchStyleProps xmlns:ask="http://schemas.microsoft.com/office/drawing/2018/sketchyshapes" sd="1219033472">
                <a:prstGeom prst="ellipse">
                  <a:avLst/>
                </a:prstGeom>
                <ask:type>
                  <ask:lineSketchScribble/>
                </ask:type>
              </ask:lineSketchStyleProps>
            </a:ext>
          </a:extLst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46</xdr:col>
      <xdr:colOff>54525</xdr:colOff>
      <xdr:row>8</xdr:row>
      <xdr:rowOff>20654</xdr:rowOff>
    </xdr:from>
    <xdr:to>
      <xdr:col>46</xdr:col>
      <xdr:colOff>320350</xdr:colOff>
      <xdr:row>8</xdr:row>
      <xdr:rowOff>176834</xdr:rowOff>
    </xdr:to>
    <xdr:sp macro="" textlink="">
      <xdr:nvSpPr>
        <xdr:cNvPr id="9" name="Oval 8">
          <a:extLst>
            <a:ext uri="{FF2B5EF4-FFF2-40B4-BE49-F238E27FC236}">
              <a16:creationId xmlns:a16="http://schemas.microsoft.com/office/drawing/2014/main" id="{FDCB8F9F-9261-3644-BC1A-DA83734729C7}"/>
            </a:ext>
          </a:extLst>
        </xdr:cNvPr>
        <xdr:cNvSpPr/>
      </xdr:nvSpPr>
      <xdr:spPr>
        <a:xfrm>
          <a:off x="15065925" y="2179654"/>
          <a:ext cx="265825" cy="156180"/>
        </a:xfrm>
        <a:custGeom>
          <a:avLst/>
          <a:gdLst>
            <a:gd name="csX0" fmla="*/ 0 w 265825"/>
            <a:gd name="csY0" fmla="*/ 78090 h 156180"/>
            <a:gd name="csX1" fmla="*/ 132913 w 265825"/>
            <a:gd name="csY1" fmla="*/ 0 h 156180"/>
            <a:gd name="csX2" fmla="*/ 265826 w 265825"/>
            <a:gd name="csY2" fmla="*/ 78090 h 156180"/>
            <a:gd name="csX3" fmla="*/ 132913 w 265825"/>
            <a:gd name="csY3" fmla="*/ 156180 h 156180"/>
            <a:gd name="csX4" fmla="*/ 0 w 265825"/>
            <a:gd name="csY4" fmla="*/ 78090 h 156180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</a:cxnLst>
          <a:rect l="l" t="t" r="r" b="b"/>
          <a:pathLst>
            <a:path w="265825" h="156180" fill="none" extrusionOk="0">
              <a:moveTo>
                <a:pt x="0" y="78090"/>
              </a:moveTo>
              <a:cubicBezTo>
                <a:pt x="16210" y="36885"/>
                <a:pt x="65876" y="-13106"/>
                <a:pt x="132913" y="0"/>
              </a:cubicBezTo>
              <a:cubicBezTo>
                <a:pt x="200156" y="-944"/>
                <a:pt x="258360" y="41991"/>
                <a:pt x="265826" y="78090"/>
              </a:cubicBezTo>
              <a:cubicBezTo>
                <a:pt x="265558" y="118665"/>
                <a:pt x="202577" y="161380"/>
                <a:pt x="132913" y="156180"/>
              </a:cubicBezTo>
              <a:cubicBezTo>
                <a:pt x="60729" y="156864"/>
                <a:pt x="1370" y="121547"/>
                <a:pt x="0" y="78090"/>
              </a:cubicBezTo>
              <a:close/>
            </a:path>
            <a:path w="265825" h="156180" stroke="0" extrusionOk="0">
              <a:moveTo>
                <a:pt x="0" y="78090"/>
              </a:moveTo>
              <a:cubicBezTo>
                <a:pt x="-2865" y="33195"/>
                <a:pt x="55967" y="1329"/>
                <a:pt x="132913" y="0"/>
              </a:cubicBezTo>
              <a:cubicBezTo>
                <a:pt x="209000" y="564"/>
                <a:pt x="253886" y="35342"/>
                <a:pt x="265826" y="78090"/>
              </a:cubicBezTo>
              <a:cubicBezTo>
                <a:pt x="251795" y="134920"/>
                <a:pt x="205997" y="157961"/>
                <a:pt x="132913" y="156180"/>
              </a:cubicBezTo>
              <a:cubicBezTo>
                <a:pt x="50517" y="151261"/>
                <a:pt x="8725" y="125387"/>
                <a:pt x="0" y="78090"/>
              </a:cubicBezTo>
              <a:close/>
            </a:path>
          </a:pathLst>
        </a:custGeom>
        <a:solidFill>
          <a:schemeClr val="bg2">
            <a:lumMod val="90000"/>
            <a:alpha val="46000"/>
          </a:schemeClr>
        </a:solidFill>
        <a:ln w="9525">
          <a:solidFill>
            <a:schemeClr val="tx1">
              <a:lumMod val="65000"/>
              <a:lumOff val="35000"/>
            </a:schemeClr>
          </a:solidFill>
          <a:extLst>
            <a:ext uri="{C807C97D-BFC1-408E-A445-0C87EB9F89A2}">
              <ask:lineSketchStyleProps xmlns:ask="http://schemas.microsoft.com/office/drawing/2018/sketchyshapes" sd="1219033472">
                <a:prstGeom prst="ellipse">
                  <a:avLst/>
                </a:prstGeom>
                <ask:type>
                  <ask:lineSketchScribble/>
                </ask:type>
              </ask:lineSketchStyleProps>
            </a:ext>
          </a:extLst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46</xdr:col>
      <xdr:colOff>46035</xdr:colOff>
      <xdr:row>9</xdr:row>
      <xdr:rowOff>26201</xdr:rowOff>
    </xdr:from>
    <xdr:to>
      <xdr:col>46</xdr:col>
      <xdr:colOff>311143</xdr:colOff>
      <xdr:row>9</xdr:row>
      <xdr:rowOff>182382</xdr:rowOff>
    </xdr:to>
    <xdr:sp macro="" textlink="">
      <xdr:nvSpPr>
        <xdr:cNvPr id="10" name="Oval 9">
          <a:extLst>
            <a:ext uri="{FF2B5EF4-FFF2-40B4-BE49-F238E27FC236}">
              <a16:creationId xmlns:a16="http://schemas.microsoft.com/office/drawing/2014/main" id="{18907217-4835-1847-88DA-CBD42201F6D9}"/>
            </a:ext>
          </a:extLst>
        </xdr:cNvPr>
        <xdr:cNvSpPr/>
      </xdr:nvSpPr>
      <xdr:spPr>
        <a:xfrm>
          <a:off x="15057435" y="2401101"/>
          <a:ext cx="265108" cy="156181"/>
        </a:xfrm>
        <a:custGeom>
          <a:avLst/>
          <a:gdLst>
            <a:gd name="csX0" fmla="*/ 0 w 265108"/>
            <a:gd name="csY0" fmla="*/ 78091 h 156181"/>
            <a:gd name="csX1" fmla="*/ 132554 w 265108"/>
            <a:gd name="csY1" fmla="*/ 0 h 156181"/>
            <a:gd name="csX2" fmla="*/ 265108 w 265108"/>
            <a:gd name="csY2" fmla="*/ 78091 h 156181"/>
            <a:gd name="csX3" fmla="*/ 132554 w 265108"/>
            <a:gd name="csY3" fmla="*/ 156182 h 156181"/>
            <a:gd name="csX4" fmla="*/ 0 w 265108"/>
            <a:gd name="csY4" fmla="*/ 78091 h 156181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</a:cxnLst>
          <a:rect l="l" t="t" r="r" b="b"/>
          <a:pathLst>
            <a:path w="265108" h="156181" fill="none" extrusionOk="0">
              <a:moveTo>
                <a:pt x="0" y="78091"/>
              </a:moveTo>
              <a:cubicBezTo>
                <a:pt x="1575" y="35150"/>
                <a:pt x="66477" y="-14676"/>
                <a:pt x="132554" y="0"/>
              </a:cubicBezTo>
              <a:cubicBezTo>
                <a:pt x="199599" y="-944"/>
                <a:pt x="257642" y="41992"/>
                <a:pt x="265108" y="78091"/>
              </a:cubicBezTo>
              <a:cubicBezTo>
                <a:pt x="263979" y="110454"/>
                <a:pt x="197285" y="167963"/>
                <a:pt x="132554" y="156182"/>
              </a:cubicBezTo>
              <a:cubicBezTo>
                <a:pt x="60568" y="156866"/>
                <a:pt x="1370" y="121548"/>
                <a:pt x="0" y="78091"/>
              </a:cubicBezTo>
              <a:close/>
            </a:path>
            <a:path w="265108" h="156181" stroke="0" extrusionOk="0">
              <a:moveTo>
                <a:pt x="0" y="78091"/>
              </a:moveTo>
              <a:cubicBezTo>
                <a:pt x="-4805" y="31999"/>
                <a:pt x="53221" y="2299"/>
                <a:pt x="132554" y="0"/>
              </a:cubicBezTo>
              <a:cubicBezTo>
                <a:pt x="208443" y="564"/>
                <a:pt x="253168" y="35343"/>
                <a:pt x="265108" y="78091"/>
              </a:cubicBezTo>
              <a:cubicBezTo>
                <a:pt x="256346" y="129776"/>
                <a:pt x="202497" y="174228"/>
                <a:pt x="132554" y="156182"/>
              </a:cubicBezTo>
              <a:cubicBezTo>
                <a:pt x="50356" y="151263"/>
                <a:pt x="8725" y="125388"/>
                <a:pt x="0" y="78091"/>
              </a:cubicBezTo>
              <a:close/>
            </a:path>
          </a:pathLst>
        </a:custGeom>
        <a:solidFill>
          <a:schemeClr val="bg2">
            <a:lumMod val="90000"/>
            <a:alpha val="46000"/>
          </a:schemeClr>
        </a:solidFill>
        <a:ln w="9525">
          <a:solidFill>
            <a:schemeClr val="tx1">
              <a:lumMod val="65000"/>
              <a:lumOff val="35000"/>
            </a:schemeClr>
          </a:solidFill>
          <a:extLst>
            <a:ext uri="{C807C97D-BFC1-408E-A445-0C87EB9F89A2}">
              <ask:lineSketchStyleProps xmlns:ask="http://schemas.microsoft.com/office/drawing/2018/sketchyshapes" sd="1219033472">
                <a:prstGeom prst="ellipse">
                  <a:avLst/>
                </a:prstGeom>
                <ask:type>
                  <ask:lineSketchScribble/>
                </ask:type>
              </ask:lineSketchStyleProps>
            </a:ext>
          </a:extLst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49</xdr:col>
      <xdr:colOff>31358</xdr:colOff>
      <xdr:row>6</xdr:row>
      <xdr:rowOff>22480</xdr:rowOff>
    </xdr:from>
    <xdr:to>
      <xdr:col>49</xdr:col>
      <xdr:colOff>298137</xdr:colOff>
      <xdr:row>6</xdr:row>
      <xdr:rowOff>178518</xdr:rowOff>
    </xdr:to>
    <xdr:sp macro="" textlink="">
      <xdr:nvSpPr>
        <xdr:cNvPr id="11" name="Oval 10">
          <a:extLst>
            <a:ext uri="{FF2B5EF4-FFF2-40B4-BE49-F238E27FC236}">
              <a16:creationId xmlns:a16="http://schemas.microsoft.com/office/drawing/2014/main" id="{CC5EE2D5-2C3A-734E-A9C2-9C87A35CA5FB}"/>
            </a:ext>
          </a:extLst>
        </xdr:cNvPr>
        <xdr:cNvSpPr/>
      </xdr:nvSpPr>
      <xdr:spPr>
        <a:xfrm>
          <a:off x="16046058" y="1749680"/>
          <a:ext cx="266779" cy="156038"/>
        </a:xfrm>
        <a:custGeom>
          <a:avLst/>
          <a:gdLst>
            <a:gd name="csX0" fmla="*/ 0 w 266779"/>
            <a:gd name="csY0" fmla="*/ 78019 h 156038"/>
            <a:gd name="csX1" fmla="*/ 133390 w 266779"/>
            <a:gd name="csY1" fmla="*/ 0 h 156038"/>
            <a:gd name="csX2" fmla="*/ 266780 w 266779"/>
            <a:gd name="csY2" fmla="*/ 78019 h 156038"/>
            <a:gd name="csX3" fmla="*/ 133390 w 266779"/>
            <a:gd name="csY3" fmla="*/ 156038 h 156038"/>
            <a:gd name="csX4" fmla="*/ 0 w 266779"/>
            <a:gd name="csY4" fmla="*/ 78019 h 156038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</a:cxnLst>
          <a:rect l="l" t="t" r="r" b="b"/>
          <a:pathLst>
            <a:path w="266779" h="156038" fill="none" extrusionOk="0">
              <a:moveTo>
                <a:pt x="0" y="78019"/>
              </a:moveTo>
              <a:cubicBezTo>
                <a:pt x="15603" y="36781"/>
                <a:pt x="61482" y="-3624"/>
                <a:pt x="133390" y="0"/>
              </a:cubicBezTo>
              <a:cubicBezTo>
                <a:pt x="199678" y="-1130"/>
                <a:pt x="264027" y="37522"/>
                <a:pt x="266780" y="78019"/>
              </a:cubicBezTo>
              <a:cubicBezTo>
                <a:pt x="265132" y="105389"/>
                <a:pt x="201759" y="163404"/>
                <a:pt x="133390" y="156038"/>
              </a:cubicBezTo>
              <a:cubicBezTo>
                <a:pt x="70600" y="162128"/>
                <a:pt x="7483" y="122907"/>
                <a:pt x="0" y="78019"/>
              </a:cubicBezTo>
              <a:close/>
            </a:path>
            <a:path w="266779" h="156038" stroke="0" extrusionOk="0">
              <a:moveTo>
                <a:pt x="0" y="78019"/>
              </a:moveTo>
              <a:cubicBezTo>
                <a:pt x="-6368" y="31002"/>
                <a:pt x="55357" y="1638"/>
                <a:pt x="133390" y="0"/>
              </a:cubicBezTo>
              <a:cubicBezTo>
                <a:pt x="216465" y="1980"/>
                <a:pt x="258066" y="35207"/>
                <a:pt x="266780" y="78019"/>
              </a:cubicBezTo>
              <a:cubicBezTo>
                <a:pt x="260716" y="127030"/>
                <a:pt x="203926" y="173356"/>
                <a:pt x="133390" y="156038"/>
              </a:cubicBezTo>
              <a:cubicBezTo>
                <a:pt x="50995" y="151264"/>
                <a:pt x="7064" y="124483"/>
                <a:pt x="0" y="78019"/>
              </a:cubicBezTo>
              <a:close/>
            </a:path>
          </a:pathLst>
        </a:custGeom>
        <a:solidFill>
          <a:schemeClr val="bg2">
            <a:lumMod val="90000"/>
            <a:alpha val="46000"/>
          </a:schemeClr>
        </a:solidFill>
        <a:ln w="9525">
          <a:solidFill>
            <a:schemeClr val="tx1">
              <a:lumMod val="65000"/>
              <a:lumOff val="35000"/>
            </a:schemeClr>
          </a:solidFill>
          <a:extLst>
            <a:ext uri="{C807C97D-BFC1-408E-A445-0C87EB9F89A2}">
              <ask:lineSketchStyleProps xmlns:ask="http://schemas.microsoft.com/office/drawing/2018/sketchyshapes" sd="1219033472">
                <a:prstGeom prst="ellipse">
                  <a:avLst/>
                </a:prstGeom>
                <ask:type>
                  <ask:lineSketchScribble/>
                </ask:type>
              </ask:lineSketchStyleProps>
            </a:ext>
          </a:extLst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49</xdr:col>
      <xdr:colOff>30542</xdr:colOff>
      <xdr:row>7</xdr:row>
      <xdr:rowOff>37393</xdr:rowOff>
    </xdr:from>
    <xdr:to>
      <xdr:col>49</xdr:col>
      <xdr:colOff>296368</xdr:colOff>
      <xdr:row>8</xdr:row>
      <xdr:rowOff>585</xdr:rowOff>
    </xdr:to>
    <xdr:sp macro="" textlink="">
      <xdr:nvSpPr>
        <xdr:cNvPr id="12" name="Oval 11">
          <a:extLst>
            <a:ext uri="{FF2B5EF4-FFF2-40B4-BE49-F238E27FC236}">
              <a16:creationId xmlns:a16="http://schemas.microsoft.com/office/drawing/2014/main" id="{3BD6ECB6-7371-0C4F-A8B9-584B25E86084}"/>
            </a:ext>
          </a:extLst>
        </xdr:cNvPr>
        <xdr:cNvSpPr/>
      </xdr:nvSpPr>
      <xdr:spPr>
        <a:xfrm>
          <a:off x="16045242" y="1980493"/>
          <a:ext cx="265826" cy="179092"/>
        </a:xfrm>
        <a:custGeom>
          <a:avLst/>
          <a:gdLst>
            <a:gd name="csX0" fmla="*/ 0 w 265826"/>
            <a:gd name="csY0" fmla="*/ 89546 h 179092"/>
            <a:gd name="csX1" fmla="*/ 132913 w 265826"/>
            <a:gd name="csY1" fmla="*/ 0 h 179092"/>
            <a:gd name="csX2" fmla="*/ 265826 w 265826"/>
            <a:gd name="csY2" fmla="*/ 89546 h 179092"/>
            <a:gd name="csX3" fmla="*/ 132913 w 265826"/>
            <a:gd name="csY3" fmla="*/ 179092 h 179092"/>
            <a:gd name="csX4" fmla="*/ 0 w 265826"/>
            <a:gd name="csY4" fmla="*/ 89546 h 179092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</a:cxnLst>
          <a:rect l="l" t="t" r="r" b="b"/>
          <a:pathLst>
            <a:path w="265826" h="179092" fill="none" extrusionOk="0">
              <a:moveTo>
                <a:pt x="0" y="89546"/>
              </a:moveTo>
              <a:cubicBezTo>
                <a:pt x="19847" y="42445"/>
                <a:pt x="64029" y="-9306"/>
                <a:pt x="132913" y="0"/>
              </a:cubicBezTo>
              <a:cubicBezTo>
                <a:pt x="194815" y="-1762"/>
                <a:pt x="261716" y="43961"/>
                <a:pt x="265826" y="89546"/>
              </a:cubicBezTo>
              <a:cubicBezTo>
                <a:pt x="264095" y="122490"/>
                <a:pt x="198332" y="190192"/>
                <a:pt x="132913" y="179092"/>
              </a:cubicBezTo>
              <a:cubicBezTo>
                <a:pt x="67687" y="183672"/>
                <a:pt x="6906" y="140661"/>
                <a:pt x="0" y="89546"/>
              </a:cubicBezTo>
              <a:close/>
            </a:path>
            <a:path w="265826" h="179092" stroke="0" extrusionOk="0">
              <a:moveTo>
                <a:pt x="0" y="89546"/>
              </a:moveTo>
              <a:cubicBezTo>
                <a:pt x="-9710" y="34102"/>
                <a:pt x="50600" y="3343"/>
                <a:pt x="132913" y="0"/>
              </a:cubicBezTo>
              <a:cubicBezTo>
                <a:pt x="213532" y="1518"/>
                <a:pt x="257288" y="40362"/>
                <a:pt x="265826" y="89546"/>
              </a:cubicBezTo>
              <a:cubicBezTo>
                <a:pt x="263730" y="141048"/>
                <a:pt x="204973" y="186533"/>
                <a:pt x="132913" y="179092"/>
              </a:cubicBezTo>
              <a:cubicBezTo>
                <a:pt x="52762" y="175402"/>
                <a:pt x="9991" y="143775"/>
                <a:pt x="0" y="89546"/>
              </a:cubicBezTo>
              <a:close/>
            </a:path>
          </a:pathLst>
        </a:custGeom>
        <a:solidFill>
          <a:schemeClr val="bg2">
            <a:lumMod val="90000"/>
            <a:alpha val="46000"/>
          </a:schemeClr>
        </a:solidFill>
        <a:ln w="9525">
          <a:solidFill>
            <a:schemeClr val="tx1">
              <a:lumMod val="65000"/>
              <a:lumOff val="35000"/>
            </a:schemeClr>
          </a:solidFill>
          <a:extLst>
            <a:ext uri="{C807C97D-BFC1-408E-A445-0C87EB9F89A2}">
              <ask:lineSketchStyleProps xmlns:ask="http://schemas.microsoft.com/office/drawing/2018/sketchyshapes" sd="1219033472">
                <a:prstGeom prst="ellipse">
                  <a:avLst/>
                </a:prstGeom>
                <ask:type>
                  <ask:lineSketchScribble/>
                </ask:type>
              </ask:lineSketchStyleProps>
            </a:ext>
          </a:extLst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49</xdr:col>
      <xdr:colOff>31109</xdr:colOff>
      <xdr:row>8</xdr:row>
      <xdr:rowOff>21732</xdr:rowOff>
    </xdr:from>
    <xdr:to>
      <xdr:col>49</xdr:col>
      <xdr:colOff>298720</xdr:colOff>
      <xdr:row>8</xdr:row>
      <xdr:rowOff>177770</xdr:rowOff>
    </xdr:to>
    <xdr:sp macro="" textlink="">
      <xdr:nvSpPr>
        <xdr:cNvPr id="13" name="Oval 12">
          <a:extLst>
            <a:ext uri="{FF2B5EF4-FFF2-40B4-BE49-F238E27FC236}">
              <a16:creationId xmlns:a16="http://schemas.microsoft.com/office/drawing/2014/main" id="{B7EAB857-26D8-2946-A261-3CF44E495BA4}"/>
            </a:ext>
          </a:extLst>
        </xdr:cNvPr>
        <xdr:cNvSpPr/>
      </xdr:nvSpPr>
      <xdr:spPr>
        <a:xfrm>
          <a:off x="16045809" y="2180732"/>
          <a:ext cx="267611" cy="156038"/>
        </a:xfrm>
        <a:custGeom>
          <a:avLst/>
          <a:gdLst>
            <a:gd name="csX0" fmla="*/ 0 w 267611"/>
            <a:gd name="csY0" fmla="*/ 78019 h 156038"/>
            <a:gd name="csX1" fmla="*/ 133806 w 267611"/>
            <a:gd name="csY1" fmla="*/ 0 h 156038"/>
            <a:gd name="csX2" fmla="*/ 267612 w 267611"/>
            <a:gd name="csY2" fmla="*/ 78019 h 156038"/>
            <a:gd name="csX3" fmla="*/ 133806 w 267611"/>
            <a:gd name="csY3" fmla="*/ 156038 h 156038"/>
            <a:gd name="csX4" fmla="*/ 0 w 267611"/>
            <a:gd name="csY4" fmla="*/ 78019 h 156038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</a:cxnLst>
          <a:rect l="l" t="t" r="r" b="b"/>
          <a:pathLst>
            <a:path w="267611" h="156038" fill="none" extrusionOk="0">
              <a:moveTo>
                <a:pt x="0" y="78019"/>
              </a:moveTo>
              <a:cubicBezTo>
                <a:pt x="16223" y="36855"/>
                <a:pt x="68180" y="-17026"/>
                <a:pt x="133806" y="0"/>
              </a:cubicBezTo>
              <a:cubicBezTo>
                <a:pt x="200324" y="-1130"/>
                <a:pt x="264859" y="37522"/>
                <a:pt x="267612" y="78019"/>
              </a:cubicBezTo>
              <a:cubicBezTo>
                <a:pt x="266091" y="106599"/>
                <a:pt x="206351" y="157920"/>
                <a:pt x="133806" y="156038"/>
              </a:cubicBezTo>
              <a:cubicBezTo>
                <a:pt x="70786" y="162128"/>
                <a:pt x="7483" y="122907"/>
                <a:pt x="0" y="78019"/>
              </a:cubicBezTo>
              <a:close/>
            </a:path>
            <a:path w="267611" h="156038" stroke="0" extrusionOk="0">
              <a:moveTo>
                <a:pt x="0" y="78019"/>
              </a:moveTo>
              <a:cubicBezTo>
                <a:pt x="-11468" y="27856"/>
                <a:pt x="45259" y="5498"/>
                <a:pt x="133806" y="0"/>
              </a:cubicBezTo>
              <a:cubicBezTo>
                <a:pt x="217111" y="1980"/>
                <a:pt x="258898" y="35207"/>
                <a:pt x="267612" y="78019"/>
              </a:cubicBezTo>
              <a:cubicBezTo>
                <a:pt x="260854" y="127708"/>
                <a:pt x="205677" y="167247"/>
                <a:pt x="133806" y="156038"/>
              </a:cubicBezTo>
              <a:cubicBezTo>
                <a:pt x="51181" y="151264"/>
                <a:pt x="7064" y="124483"/>
                <a:pt x="0" y="78019"/>
              </a:cubicBezTo>
              <a:close/>
            </a:path>
          </a:pathLst>
        </a:custGeom>
        <a:solidFill>
          <a:schemeClr val="bg2">
            <a:lumMod val="90000"/>
            <a:alpha val="46000"/>
          </a:schemeClr>
        </a:solidFill>
        <a:ln w="9525">
          <a:solidFill>
            <a:schemeClr val="tx1">
              <a:lumMod val="65000"/>
              <a:lumOff val="35000"/>
            </a:schemeClr>
          </a:solidFill>
          <a:extLst>
            <a:ext uri="{C807C97D-BFC1-408E-A445-0C87EB9F89A2}">
              <ask:lineSketchStyleProps xmlns:ask="http://schemas.microsoft.com/office/drawing/2018/sketchyshapes" sd="1219033472">
                <a:prstGeom prst="ellipse">
                  <a:avLst/>
                </a:prstGeom>
                <ask:type>
                  <ask:lineSketchScribble/>
                </ask:type>
              </ask:lineSketchStyleProps>
            </a:ext>
          </a:extLst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49</xdr:col>
      <xdr:colOff>25517</xdr:colOff>
      <xdr:row>11</xdr:row>
      <xdr:rowOff>26517</xdr:rowOff>
    </xdr:from>
    <xdr:to>
      <xdr:col>49</xdr:col>
      <xdr:colOff>290626</xdr:colOff>
      <xdr:row>11</xdr:row>
      <xdr:rowOff>182434</xdr:rowOff>
    </xdr:to>
    <xdr:sp macro="" textlink="">
      <xdr:nvSpPr>
        <xdr:cNvPr id="14" name="Oval 13">
          <a:extLst>
            <a:ext uri="{FF2B5EF4-FFF2-40B4-BE49-F238E27FC236}">
              <a16:creationId xmlns:a16="http://schemas.microsoft.com/office/drawing/2014/main" id="{11CA9F31-5B20-764D-90F5-1F5975EFB7A9}"/>
            </a:ext>
          </a:extLst>
        </xdr:cNvPr>
        <xdr:cNvSpPr/>
      </xdr:nvSpPr>
      <xdr:spPr>
        <a:xfrm>
          <a:off x="16040217" y="2833217"/>
          <a:ext cx="265109" cy="155917"/>
        </a:xfrm>
        <a:custGeom>
          <a:avLst/>
          <a:gdLst>
            <a:gd name="csX0" fmla="*/ 0 w 265109"/>
            <a:gd name="csY0" fmla="*/ 77959 h 155917"/>
            <a:gd name="csX1" fmla="*/ 132555 w 265109"/>
            <a:gd name="csY1" fmla="*/ 0 h 155917"/>
            <a:gd name="csX2" fmla="*/ 265110 w 265109"/>
            <a:gd name="csY2" fmla="*/ 77959 h 155917"/>
            <a:gd name="csX3" fmla="*/ 132555 w 265109"/>
            <a:gd name="csY3" fmla="*/ 155918 h 155917"/>
            <a:gd name="csX4" fmla="*/ 0 w 265109"/>
            <a:gd name="csY4" fmla="*/ 77959 h 155917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</a:cxnLst>
          <a:rect l="l" t="t" r="r" b="b"/>
          <a:pathLst>
            <a:path w="265109" h="155917" fill="none" extrusionOk="0">
              <a:moveTo>
                <a:pt x="0" y="77959"/>
              </a:moveTo>
              <a:cubicBezTo>
                <a:pt x="6014" y="35616"/>
                <a:pt x="66456" y="-14630"/>
                <a:pt x="132555" y="0"/>
              </a:cubicBezTo>
              <a:cubicBezTo>
                <a:pt x="194075" y="-1790"/>
                <a:pt x="263885" y="36056"/>
                <a:pt x="265110" y="77959"/>
              </a:cubicBezTo>
              <a:cubicBezTo>
                <a:pt x="263283" y="103593"/>
                <a:pt x="201714" y="161545"/>
                <a:pt x="132555" y="155918"/>
              </a:cubicBezTo>
              <a:cubicBezTo>
                <a:pt x="64787" y="158964"/>
                <a:pt x="4980" y="122212"/>
                <a:pt x="0" y="77959"/>
              </a:cubicBezTo>
              <a:close/>
            </a:path>
            <a:path w="265109" h="155917" stroke="0" extrusionOk="0">
              <a:moveTo>
                <a:pt x="0" y="77959"/>
              </a:moveTo>
              <a:cubicBezTo>
                <a:pt x="-17015" y="24408"/>
                <a:pt x="52273" y="2655"/>
                <a:pt x="132555" y="0"/>
              </a:cubicBezTo>
              <a:cubicBezTo>
                <a:pt x="215143" y="1975"/>
                <a:pt x="255954" y="35194"/>
                <a:pt x="265110" y="77959"/>
              </a:cubicBezTo>
              <a:cubicBezTo>
                <a:pt x="252132" y="133688"/>
                <a:pt x="202917" y="171646"/>
                <a:pt x="132555" y="155918"/>
              </a:cubicBezTo>
              <a:cubicBezTo>
                <a:pt x="55720" y="153934"/>
                <a:pt x="3094" y="122493"/>
                <a:pt x="0" y="77959"/>
              </a:cubicBezTo>
              <a:close/>
            </a:path>
          </a:pathLst>
        </a:custGeom>
        <a:solidFill>
          <a:schemeClr val="bg2">
            <a:lumMod val="90000"/>
            <a:alpha val="46000"/>
          </a:schemeClr>
        </a:solidFill>
        <a:ln w="9525">
          <a:solidFill>
            <a:schemeClr val="tx1">
              <a:lumMod val="65000"/>
              <a:lumOff val="35000"/>
            </a:schemeClr>
          </a:solidFill>
          <a:extLst>
            <a:ext uri="{C807C97D-BFC1-408E-A445-0C87EB9F89A2}">
              <ask:lineSketchStyleProps xmlns:ask="http://schemas.microsoft.com/office/drawing/2018/sketchyshapes" sd="1219033472">
                <a:prstGeom prst="ellipse">
                  <a:avLst/>
                </a:prstGeom>
                <ask:type>
                  <ask:lineSketchScribble/>
                </ask:type>
              </ask:lineSketchStyleProps>
            </a:ext>
          </a:extLst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49</xdr:col>
      <xdr:colOff>45550</xdr:colOff>
      <xdr:row>12</xdr:row>
      <xdr:rowOff>17134</xdr:rowOff>
    </xdr:from>
    <xdr:to>
      <xdr:col>49</xdr:col>
      <xdr:colOff>311376</xdr:colOff>
      <xdr:row>12</xdr:row>
      <xdr:rowOff>173315</xdr:rowOff>
    </xdr:to>
    <xdr:sp macro="" textlink="">
      <xdr:nvSpPr>
        <xdr:cNvPr id="15" name="Oval 14">
          <a:extLst>
            <a:ext uri="{FF2B5EF4-FFF2-40B4-BE49-F238E27FC236}">
              <a16:creationId xmlns:a16="http://schemas.microsoft.com/office/drawing/2014/main" id="{4B3FE730-234C-8747-84E4-8AF12EC31E5E}"/>
            </a:ext>
          </a:extLst>
        </xdr:cNvPr>
        <xdr:cNvSpPr/>
      </xdr:nvSpPr>
      <xdr:spPr>
        <a:xfrm>
          <a:off x="16060250" y="3039734"/>
          <a:ext cx="265826" cy="156181"/>
        </a:xfrm>
        <a:custGeom>
          <a:avLst/>
          <a:gdLst>
            <a:gd name="csX0" fmla="*/ 0 w 265826"/>
            <a:gd name="csY0" fmla="*/ 78091 h 156181"/>
            <a:gd name="csX1" fmla="*/ 132913 w 265826"/>
            <a:gd name="csY1" fmla="*/ 0 h 156181"/>
            <a:gd name="csX2" fmla="*/ 265826 w 265826"/>
            <a:gd name="csY2" fmla="*/ 78091 h 156181"/>
            <a:gd name="csX3" fmla="*/ 132913 w 265826"/>
            <a:gd name="csY3" fmla="*/ 156182 h 156181"/>
            <a:gd name="csX4" fmla="*/ 0 w 265826"/>
            <a:gd name="csY4" fmla="*/ 78091 h 156181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</a:cxnLst>
          <a:rect l="l" t="t" r="r" b="b"/>
          <a:pathLst>
            <a:path w="265826" h="156181" fill="none" extrusionOk="0">
              <a:moveTo>
                <a:pt x="0" y="78091"/>
              </a:moveTo>
              <a:cubicBezTo>
                <a:pt x="16017" y="36863"/>
                <a:pt x="63672" y="-8571"/>
                <a:pt x="132913" y="0"/>
              </a:cubicBezTo>
              <a:cubicBezTo>
                <a:pt x="200156" y="-944"/>
                <a:pt x="258360" y="41992"/>
                <a:pt x="265826" y="78091"/>
              </a:cubicBezTo>
              <a:cubicBezTo>
                <a:pt x="263711" y="101051"/>
                <a:pt x="195665" y="170987"/>
                <a:pt x="132913" y="156182"/>
              </a:cubicBezTo>
              <a:cubicBezTo>
                <a:pt x="60729" y="156866"/>
                <a:pt x="1370" y="121548"/>
                <a:pt x="0" y="78091"/>
              </a:cubicBezTo>
              <a:close/>
            </a:path>
            <a:path w="265826" h="156181" stroke="0" extrusionOk="0">
              <a:moveTo>
                <a:pt x="0" y="78091"/>
              </a:moveTo>
              <a:cubicBezTo>
                <a:pt x="-16251" y="24939"/>
                <a:pt x="48100" y="4281"/>
                <a:pt x="132913" y="0"/>
              </a:cubicBezTo>
              <a:cubicBezTo>
                <a:pt x="209000" y="564"/>
                <a:pt x="253886" y="35343"/>
                <a:pt x="265826" y="78091"/>
              </a:cubicBezTo>
              <a:cubicBezTo>
                <a:pt x="262909" y="124067"/>
                <a:pt x="203576" y="171343"/>
                <a:pt x="132913" y="156182"/>
              </a:cubicBezTo>
              <a:cubicBezTo>
                <a:pt x="50517" y="151263"/>
                <a:pt x="8725" y="125388"/>
                <a:pt x="0" y="78091"/>
              </a:cubicBezTo>
              <a:close/>
            </a:path>
          </a:pathLst>
        </a:custGeom>
        <a:solidFill>
          <a:schemeClr val="bg2">
            <a:lumMod val="90000"/>
            <a:alpha val="46000"/>
          </a:schemeClr>
        </a:solidFill>
        <a:ln w="9525">
          <a:solidFill>
            <a:schemeClr val="tx1">
              <a:lumMod val="65000"/>
              <a:lumOff val="35000"/>
            </a:schemeClr>
          </a:solidFill>
          <a:extLst>
            <a:ext uri="{C807C97D-BFC1-408E-A445-0C87EB9F89A2}">
              <ask:lineSketchStyleProps xmlns:ask="http://schemas.microsoft.com/office/drawing/2018/sketchyshapes" sd="1219033472">
                <a:prstGeom prst="ellipse">
                  <a:avLst/>
                </a:prstGeom>
                <ask:type>
                  <ask:lineSketchScribble/>
                </ask:type>
              </ask:lineSketchStyleProps>
            </a:ext>
          </a:extLst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52</xdr:col>
      <xdr:colOff>30841</xdr:colOff>
      <xdr:row>7</xdr:row>
      <xdr:rowOff>39368</xdr:rowOff>
    </xdr:from>
    <xdr:to>
      <xdr:col>52</xdr:col>
      <xdr:colOff>295950</xdr:colOff>
      <xdr:row>8</xdr:row>
      <xdr:rowOff>746</xdr:rowOff>
    </xdr:to>
    <xdr:sp macro="" textlink="">
      <xdr:nvSpPr>
        <xdr:cNvPr id="16" name="Oval 15">
          <a:extLst>
            <a:ext uri="{FF2B5EF4-FFF2-40B4-BE49-F238E27FC236}">
              <a16:creationId xmlns:a16="http://schemas.microsoft.com/office/drawing/2014/main" id="{F954868C-DAD6-0F49-8F4F-ABFD5490E5F4}"/>
            </a:ext>
          </a:extLst>
        </xdr:cNvPr>
        <xdr:cNvSpPr/>
      </xdr:nvSpPr>
      <xdr:spPr>
        <a:xfrm>
          <a:off x="16998041" y="1982468"/>
          <a:ext cx="265109" cy="177278"/>
        </a:xfrm>
        <a:custGeom>
          <a:avLst/>
          <a:gdLst>
            <a:gd name="csX0" fmla="*/ 0 w 265109"/>
            <a:gd name="csY0" fmla="*/ 88639 h 177278"/>
            <a:gd name="csX1" fmla="*/ 132555 w 265109"/>
            <a:gd name="csY1" fmla="*/ 0 h 177278"/>
            <a:gd name="csX2" fmla="*/ 265110 w 265109"/>
            <a:gd name="csY2" fmla="*/ 88639 h 177278"/>
            <a:gd name="csX3" fmla="*/ 132555 w 265109"/>
            <a:gd name="csY3" fmla="*/ 177278 h 177278"/>
            <a:gd name="csX4" fmla="*/ 0 w 265109"/>
            <a:gd name="csY4" fmla="*/ 88639 h 177278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</a:cxnLst>
          <a:rect l="l" t="t" r="r" b="b"/>
          <a:pathLst>
            <a:path w="265109" h="177278" fill="none" extrusionOk="0">
              <a:moveTo>
                <a:pt x="0" y="88639"/>
              </a:moveTo>
              <a:cubicBezTo>
                <a:pt x="16904" y="41690"/>
                <a:pt x="62411" y="-6305"/>
                <a:pt x="132555" y="0"/>
              </a:cubicBezTo>
              <a:cubicBezTo>
                <a:pt x="196313" y="-1447"/>
                <a:pt x="259416" y="45046"/>
                <a:pt x="265110" y="88639"/>
              </a:cubicBezTo>
              <a:cubicBezTo>
                <a:pt x="263127" y="118681"/>
                <a:pt x="196442" y="190231"/>
                <a:pt x="132555" y="177278"/>
              </a:cubicBezTo>
              <a:cubicBezTo>
                <a:pt x="62463" y="179022"/>
                <a:pt x="6482" y="139151"/>
                <a:pt x="0" y="88639"/>
              </a:cubicBezTo>
              <a:close/>
            </a:path>
            <a:path w="265109" h="177278" stroke="0" extrusionOk="0">
              <a:moveTo>
                <a:pt x="0" y="88639"/>
              </a:moveTo>
              <a:cubicBezTo>
                <a:pt x="-6446" y="35709"/>
                <a:pt x="40044" y="7245"/>
                <a:pt x="132555" y="0"/>
              </a:cubicBezTo>
              <a:cubicBezTo>
                <a:pt x="210007" y="893"/>
                <a:pt x="259439" y="39865"/>
                <a:pt x="265110" y="88639"/>
              </a:cubicBezTo>
              <a:cubicBezTo>
                <a:pt x="251689" y="150699"/>
                <a:pt x="204530" y="184094"/>
                <a:pt x="132555" y="177278"/>
              </a:cubicBezTo>
              <a:cubicBezTo>
                <a:pt x="56043" y="175470"/>
                <a:pt x="1906" y="138504"/>
                <a:pt x="0" y="88639"/>
              </a:cubicBezTo>
              <a:close/>
            </a:path>
          </a:pathLst>
        </a:custGeom>
        <a:solidFill>
          <a:schemeClr val="bg2">
            <a:lumMod val="90000"/>
            <a:alpha val="46000"/>
          </a:schemeClr>
        </a:solidFill>
        <a:ln w="9525">
          <a:solidFill>
            <a:schemeClr val="tx1">
              <a:lumMod val="65000"/>
              <a:lumOff val="35000"/>
            </a:schemeClr>
          </a:solidFill>
          <a:extLst>
            <a:ext uri="{C807C97D-BFC1-408E-A445-0C87EB9F89A2}">
              <ask:lineSketchStyleProps xmlns:ask="http://schemas.microsoft.com/office/drawing/2018/sketchyshapes" sd="1219033472">
                <a:prstGeom prst="ellipse">
                  <a:avLst/>
                </a:prstGeom>
                <ask:type>
                  <ask:lineSketchScribble/>
                </ask:type>
              </ask:lineSketchStyleProps>
            </a:ext>
          </a:extLst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52</xdr:col>
      <xdr:colOff>26348</xdr:colOff>
      <xdr:row>8</xdr:row>
      <xdr:rowOff>56080</xdr:rowOff>
    </xdr:from>
    <xdr:to>
      <xdr:col>52</xdr:col>
      <xdr:colOff>291457</xdr:colOff>
      <xdr:row>9</xdr:row>
      <xdr:rowOff>19678</xdr:rowOff>
    </xdr:to>
    <xdr:sp macro="" textlink="">
      <xdr:nvSpPr>
        <xdr:cNvPr id="17" name="Oval 16">
          <a:extLst>
            <a:ext uri="{FF2B5EF4-FFF2-40B4-BE49-F238E27FC236}">
              <a16:creationId xmlns:a16="http://schemas.microsoft.com/office/drawing/2014/main" id="{9E10404C-4186-3F41-8565-E8B24BC20964}"/>
            </a:ext>
          </a:extLst>
        </xdr:cNvPr>
        <xdr:cNvSpPr/>
      </xdr:nvSpPr>
      <xdr:spPr>
        <a:xfrm>
          <a:off x="16993548" y="2215080"/>
          <a:ext cx="265109" cy="179498"/>
        </a:xfrm>
        <a:custGeom>
          <a:avLst/>
          <a:gdLst>
            <a:gd name="csX0" fmla="*/ 0 w 265109"/>
            <a:gd name="csY0" fmla="*/ 89749 h 179498"/>
            <a:gd name="csX1" fmla="*/ 132555 w 265109"/>
            <a:gd name="csY1" fmla="*/ 0 h 179498"/>
            <a:gd name="csX2" fmla="*/ 265110 w 265109"/>
            <a:gd name="csY2" fmla="*/ 89749 h 179498"/>
            <a:gd name="csX3" fmla="*/ 132555 w 265109"/>
            <a:gd name="csY3" fmla="*/ 179498 h 179498"/>
            <a:gd name="csX4" fmla="*/ 0 w 265109"/>
            <a:gd name="csY4" fmla="*/ 89749 h 179498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</a:cxnLst>
          <a:rect l="l" t="t" r="r" b="b"/>
          <a:pathLst>
            <a:path w="265109" h="179498" fill="none" extrusionOk="0">
              <a:moveTo>
                <a:pt x="0" y="89749"/>
              </a:moveTo>
              <a:cubicBezTo>
                <a:pt x="16308" y="42117"/>
                <a:pt x="67523" y="-16827"/>
                <a:pt x="132555" y="0"/>
              </a:cubicBezTo>
              <a:cubicBezTo>
                <a:pt x="204693" y="-164"/>
                <a:pt x="258689" y="46227"/>
                <a:pt x="265110" y="89749"/>
              </a:cubicBezTo>
              <a:cubicBezTo>
                <a:pt x="264834" y="136679"/>
                <a:pt x="202922" y="183447"/>
                <a:pt x="132555" y="179498"/>
              </a:cubicBezTo>
              <a:cubicBezTo>
                <a:pt x="69846" y="185376"/>
                <a:pt x="14456" y="142792"/>
                <a:pt x="0" y="89749"/>
              </a:cubicBezTo>
              <a:close/>
            </a:path>
            <a:path w="265109" h="179498" stroke="0" extrusionOk="0">
              <a:moveTo>
                <a:pt x="0" y="89749"/>
              </a:moveTo>
              <a:cubicBezTo>
                <a:pt x="-15906" y="30371"/>
                <a:pt x="47419" y="4477"/>
                <a:pt x="132555" y="0"/>
              </a:cubicBezTo>
              <a:cubicBezTo>
                <a:pt x="217437" y="2458"/>
                <a:pt x="258027" y="40407"/>
                <a:pt x="265110" y="89749"/>
              </a:cubicBezTo>
              <a:cubicBezTo>
                <a:pt x="256480" y="147743"/>
                <a:pt x="203685" y="190984"/>
                <a:pt x="132555" y="179498"/>
              </a:cubicBezTo>
              <a:cubicBezTo>
                <a:pt x="53527" y="176314"/>
                <a:pt x="12106" y="145100"/>
                <a:pt x="0" y="89749"/>
              </a:cubicBezTo>
              <a:close/>
            </a:path>
          </a:pathLst>
        </a:custGeom>
        <a:solidFill>
          <a:schemeClr val="bg2">
            <a:lumMod val="90000"/>
            <a:alpha val="46000"/>
          </a:schemeClr>
        </a:solidFill>
        <a:ln w="9525">
          <a:solidFill>
            <a:schemeClr val="tx1">
              <a:lumMod val="65000"/>
              <a:lumOff val="35000"/>
            </a:schemeClr>
          </a:solidFill>
          <a:extLst>
            <a:ext uri="{C807C97D-BFC1-408E-A445-0C87EB9F89A2}">
              <ask:lineSketchStyleProps xmlns:ask="http://schemas.microsoft.com/office/drawing/2018/sketchyshapes" sd="1219033472">
                <a:prstGeom prst="ellipse">
                  <a:avLst/>
                </a:prstGeom>
                <ask:type>
                  <ask:lineSketchScribble/>
                </ask:type>
              </ask:lineSketchStyleProps>
            </a:ext>
          </a:extLst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49</xdr:col>
      <xdr:colOff>35162</xdr:colOff>
      <xdr:row>9</xdr:row>
      <xdr:rowOff>11702</xdr:rowOff>
    </xdr:from>
    <xdr:to>
      <xdr:col>49</xdr:col>
      <xdr:colOff>300987</xdr:colOff>
      <xdr:row>9</xdr:row>
      <xdr:rowOff>167882</xdr:rowOff>
    </xdr:to>
    <xdr:sp macro="" textlink="">
      <xdr:nvSpPr>
        <xdr:cNvPr id="18" name="Oval 17">
          <a:extLst>
            <a:ext uri="{FF2B5EF4-FFF2-40B4-BE49-F238E27FC236}">
              <a16:creationId xmlns:a16="http://schemas.microsoft.com/office/drawing/2014/main" id="{13454160-012B-1441-A2E4-55613812A30C}"/>
            </a:ext>
          </a:extLst>
        </xdr:cNvPr>
        <xdr:cNvSpPr/>
      </xdr:nvSpPr>
      <xdr:spPr>
        <a:xfrm>
          <a:off x="16049862" y="2386602"/>
          <a:ext cx="265825" cy="156180"/>
        </a:xfrm>
        <a:custGeom>
          <a:avLst/>
          <a:gdLst>
            <a:gd name="csX0" fmla="*/ 0 w 265825"/>
            <a:gd name="csY0" fmla="*/ 78090 h 156180"/>
            <a:gd name="csX1" fmla="*/ 132913 w 265825"/>
            <a:gd name="csY1" fmla="*/ 0 h 156180"/>
            <a:gd name="csX2" fmla="*/ 265826 w 265825"/>
            <a:gd name="csY2" fmla="*/ 78090 h 156180"/>
            <a:gd name="csX3" fmla="*/ 132913 w 265825"/>
            <a:gd name="csY3" fmla="*/ 156180 h 156180"/>
            <a:gd name="csX4" fmla="*/ 0 w 265825"/>
            <a:gd name="csY4" fmla="*/ 78090 h 156180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</a:cxnLst>
          <a:rect l="l" t="t" r="r" b="b"/>
          <a:pathLst>
            <a:path w="265825" h="156180" fill="none" extrusionOk="0">
              <a:moveTo>
                <a:pt x="0" y="78090"/>
              </a:moveTo>
              <a:cubicBezTo>
                <a:pt x="16210" y="36885"/>
                <a:pt x="65876" y="-13106"/>
                <a:pt x="132913" y="0"/>
              </a:cubicBezTo>
              <a:cubicBezTo>
                <a:pt x="200156" y="-944"/>
                <a:pt x="258360" y="41991"/>
                <a:pt x="265826" y="78090"/>
              </a:cubicBezTo>
              <a:cubicBezTo>
                <a:pt x="265558" y="118665"/>
                <a:pt x="202577" y="161380"/>
                <a:pt x="132913" y="156180"/>
              </a:cubicBezTo>
              <a:cubicBezTo>
                <a:pt x="60729" y="156864"/>
                <a:pt x="1370" y="121547"/>
                <a:pt x="0" y="78090"/>
              </a:cubicBezTo>
              <a:close/>
            </a:path>
            <a:path w="265825" h="156180" stroke="0" extrusionOk="0">
              <a:moveTo>
                <a:pt x="0" y="78090"/>
              </a:moveTo>
              <a:cubicBezTo>
                <a:pt x="-2865" y="33195"/>
                <a:pt x="55967" y="1329"/>
                <a:pt x="132913" y="0"/>
              </a:cubicBezTo>
              <a:cubicBezTo>
                <a:pt x="209000" y="564"/>
                <a:pt x="253886" y="35342"/>
                <a:pt x="265826" y="78090"/>
              </a:cubicBezTo>
              <a:cubicBezTo>
                <a:pt x="251795" y="134920"/>
                <a:pt x="205997" y="157961"/>
                <a:pt x="132913" y="156180"/>
              </a:cubicBezTo>
              <a:cubicBezTo>
                <a:pt x="50517" y="151261"/>
                <a:pt x="8725" y="125387"/>
                <a:pt x="0" y="78090"/>
              </a:cubicBezTo>
              <a:close/>
            </a:path>
          </a:pathLst>
        </a:custGeom>
        <a:solidFill>
          <a:schemeClr val="bg2">
            <a:lumMod val="90000"/>
            <a:alpha val="46000"/>
          </a:schemeClr>
        </a:solidFill>
        <a:ln w="9525">
          <a:solidFill>
            <a:schemeClr val="tx1">
              <a:lumMod val="65000"/>
              <a:lumOff val="35000"/>
            </a:schemeClr>
          </a:solidFill>
          <a:extLst>
            <a:ext uri="{C807C97D-BFC1-408E-A445-0C87EB9F89A2}">
              <ask:lineSketchStyleProps xmlns:ask="http://schemas.microsoft.com/office/drawing/2018/sketchyshapes" sd="1219033472">
                <a:prstGeom prst="ellipse">
                  <a:avLst/>
                </a:prstGeom>
                <ask:type>
                  <ask:lineSketchScribble/>
                </ask:type>
              </ask:lineSketchStyleProps>
            </a:ext>
          </a:extLst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49</xdr:col>
      <xdr:colOff>26672</xdr:colOff>
      <xdr:row>10</xdr:row>
      <xdr:rowOff>17249</xdr:rowOff>
    </xdr:from>
    <xdr:to>
      <xdr:col>49</xdr:col>
      <xdr:colOff>291780</xdr:colOff>
      <xdr:row>10</xdr:row>
      <xdr:rowOff>173430</xdr:rowOff>
    </xdr:to>
    <xdr:sp macro="" textlink="">
      <xdr:nvSpPr>
        <xdr:cNvPr id="19" name="Oval 18">
          <a:extLst>
            <a:ext uri="{FF2B5EF4-FFF2-40B4-BE49-F238E27FC236}">
              <a16:creationId xmlns:a16="http://schemas.microsoft.com/office/drawing/2014/main" id="{5FF6C7C1-9159-EF4D-85DE-34F6FE802FFF}"/>
            </a:ext>
          </a:extLst>
        </xdr:cNvPr>
        <xdr:cNvSpPr/>
      </xdr:nvSpPr>
      <xdr:spPr>
        <a:xfrm>
          <a:off x="16041372" y="2608049"/>
          <a:ext cx="265108" cy="156181"/>
        </a:xfrm>
        <a:custGeom>
          <a:avLst/>
          <a:gdLst>
            <a:gd name="csX0" fmla="*/ 0 w 265108"/>
            <a:gd name="csY0" fmla="*/ 78091 h 156181"/>
            <a:gd name="csX1" fmla="*/ 132554 w 265108"/>
            <a:gd name="csY1" fmla="*/ 0 h 156181"/>
            <a:gd name="csX2" fmla="*/ 265108 w 265108"/>
            <a:gd name="csY2" fmla="*/ 78091 h 156181"/>
            <a:gd name="csX3" fmla="*/ 132554 w 265108"/>
            <a:gd name="csY3" fmla="*/ 156182 h 156181"/>
            <a:gd name="csX4" fmla="*/ 0 w 265108"/>
            <a:gd name="csY4" fmla="*/ 78091 h 156181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</a:cxnLst>
          <a:rect l="l" t="t" r="r" b="b"/>
          <a:pathLst>
            <a:path w="265108" h="156181" fill="none" extrusionOk="0">
              <a:moveTo>
                <a:pt x="0" y="78091"/>
              </a:moveTo>
              <a:cubicBezTo>
                <a:pt x="1575" y="35150"/>
                <a:pt x="66477" y="-14676"/>
                <a:pt x="132554" y="0"/>
              </a:cubicBezTo>
              <a:cubicBezTo>
                <a:pt x="199599" y="-944"/>
                <a:pt x="257642" y="41992"/>
                <a:pt x="265108" y="78091"/>
              </a:cubicBezTo>
              <a:cubicBezTo>
                <a:pt x="263979" y="110454"/>
                <a:pt x="197285" y="167963"/>
                <a:pt x="132554" y="156182"/>
              </a:cubicBezTo>
              <a:cubicBezTo>
                <a:pt x="60568" y="156866"/>
                <a:pt x="1370" y="121548"/>
                <a:pt x="0" y="78091"/>
              </a:cubicBezTo>
              <a:close/>
            </a:path>
            <a:path w="265108" h="156181" stroke="0" extrusionOk="0">
              <a:moveTo>
                <a:pt x="0" y="78091"/>
              </a:moveTo>
              <a:cubicBezTo>
                <a:pt x="-4805" y="31999"/>
                <a:pt x="53221" y="2299"/>
                <a:pt x="132554" y="0"/>
              </a:cubicBezTo>
              <a:cubicBezTo>
                <a:pt x="208443" y="564"/>
                <a:pt x="253168" y="35343"/>
                <a:pt x="265108" y="78091"/>
              </a:cubicBezTo>
              <a:cubicBezTo>
                <a:pt x="256346" y="129776"/>
                <a:pt x="202497" y="174228"/>
                <a:pt x="132554" y="156182"/>
              </a:cubicBezTo>
              <a:cubicBezTo>
                <a:pt x="50356" y="151263"/>
                <a:pt x="8725" y="125388"/>
                <a:pt x="0" y="78091"/>
              </a:cubicBezTo>
              <a:close/>
            </a:path>
          </a:pathLst>
        </a:custGeom>
        <a:solidFill>
          <a:schemeClr val="bg2">
            <a:lumMod val="90000"/>
            <a:alpha val="46000"/>
          </a:schemeClr>
        </a:solidFill>
        <a:ln w="9525">
          <a:solidFill>
            <a:schemeClr val="tx1">
              <a:lumMod val="65000"/>
              <a:lumOff val="35000"/>
            </a:schemeClr>
          </a:solidFill>
          <a:extLst>
            <a:ext uri="{C807C97D-BFC1-408E-A445-0C87EB9F89A2}">
              <ask:lineSketchStyleProps xmlns:ask="http://schemas.microsoft.com/office/drawing/2018/sketchyshapes" sd="1219033472">
                <a:prstGeom prst="ellipse">
                  <a:avLst/>
                </a:prstGeom>
                <ask:type>
                  <ask:lineSketchScribble/>
                </ask:type>
              </ask:lineSketchStyleProps>
            </a:ext>
          </a:extLst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52</xdr:col>
      <xdr:colOff>42708</xdr:colOff>
      <xdr:row>9</xdr:row>
      <xdr:rowOff>40825</xdr:rowOff>
    </xdr:from>
    <xdr:to>
      <xdr:col>52</xdr:col>
      <xdr:colOff>307817</xdr:colOff>
      <xdr:row>10</xdr:row>
      <xdr:rowOff>2203</xdr:rowOff>
    </xdr:to>
    <xdr:sp macro="" textlink="">
      <xdr:nvSpPr>
        <xdr:cNvPr id="20" name="Oval 19">
          <a:extLst>
            <a:ext uri="{FF2B5EF4-FFF2-40B4-BE49-F238E27FC236}">
              <a16:creationId xmlns:a16="http://schemas.microsoft.com/office/drawing/2014/main" id="{844496D0-05C4-1B45-947C-F995BB40C04A}"/>
            </a:ext>
          </a:extLst>
        </xdr:cNvPr>
        <xdr:cNvSpPr/>
      </xdr:nvSpPr>
      <xdr:spPr>
        <a:xfrm>
          <a:off x="17009908" y="2415725"/>
          <a:ext cx="265109" cy="177278"/>
        </a:xfrm>
        <a:custGeom>
          <a:avLst/>
          <a:gdLst>
            <a:gd name="csX0" fmla="*/ 0 w 265109"/>
            <a:gd name="csY0" fmla="*/ 88639 h 177278"/>
            <a:gd name="csX1" fmla="*/ 132555 w 265109"/>
            <a:gd name="csY1" fmla="*/ 0 h 177278"/>
            <a:gd name="csX2" fmla="*/ 265110 w 265109"/>
            <a:gd name="csY2" fmla="*/ 88639 h 177278"/>
            <a:gd name="csX3" fmla="*/ 132555 w 265109"/>
            <a:gd name="csY3" fmla="*/ 177278 h 177278"/>
            <a:gd name="csX4" fmla="*/ 0 w 265109"/>
            <a:gd name="csY4" fmla="*/ 88639 h 177278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</a:cxnLst>
          <a:rect l="l" t="t" r="r" b="b"/>
          <a:pathLst>
            <a:path w="265109" h="177278" fill="none" extrusionOk="0">
              <a:moveTo>
                <a:pt x="0" y="88639"/>
              </a:moveTo>
              <a:cubicBezTo>
                <a:pt x="16904" y="41690"/>
                <a:pt x="62411" y="-6305"/>
                <a:pt x="132555" y="0"/>
              </a:cubicBezTo>
              <a:cubicBezTo>
                <a:pt x="196313" y="-1447"/>
                <a:pt x="259416" y="45046"/>
                <a:pt x="265110" y="88639"/>
              </a:cubicBezTo>
              <a:cubicBezTo>
                <a:pt x="263127" y="118681"/>
                <a:pt x="196442" y="190231"/>
                <a:pt x="132555" y="177278"/>
              </a:cubicBezTo>
              <a:cubicBezTo>
                <a:pt x="62463" y="179022"/>
                <a:pt x="6482" y="139151"/>
                <a:pt x="0" y="88639"/>
              </a:cubicBezTo>
              <a:close/>
            </a:path>
            <a:path w="265109" h="177278" stroke="0" extrusionOk="0">
              <a:moveTo>
                <a:pt x="0" y="88639"/>
              </a:moveTo>
              <a:cubicBezTo>
                <a:pt x="-6446" y="35709"/>
                <a:pt x="40044" y="7245"/>
                <a:pt x="132555" y="0"/>
              </a:cubicBezTo>
              <a:cubicBezTo>
                <a:pt x="210007" y="893"/>
                <a:pt x="259439" y="39865"/>
                <a:pt x="265110" y="88639"/>
              </a:cubicBezTo>
              <a:cubicBezTo>
                <a:pt x="251689" y="150699"/>
                <a:pt x="204530" y="184094"/>
                <a:pt x="132555" y="177278"/>
              </a:cubicBezTo>
              <a:cubicBezTo>
                <a:pt x="56043" y="175470"/>
                <a:pt x="1906" y="138504"/>
                <a:pt x="0" y="88639"/>
              </a:cubicBezTo>
              <a:close/>
            </a:path>
          </a:pathLst>
        </a:custGeom>
        <a:solidFill>
          <a:schemeClr val="bg2">
            <a:lumMod val="90000"/>
            <a:alpha val="46000"/>
          </a:schemeClr>
        </a:solidFill>
        <a:ln w="9525">
          <a:solidFill>
            <a:schemeClr val="tx1">
              <a:lumMod val="65000"/>
              <a:lumOff val="35000"/>
            </a:schemeClr>
          </a:solidFill>
          <a:extLst>
            <a:ext uri="{C807C97D-BFC1-408E-A445-0C87EB9F89A2}">
              <ask:lineSketchStyleProps xmlns:ask="http://schemas.microsoft.com/office/drawing/2018/sketchyshapes" sd="1219033472">
                <a:prstGeom prst="ellipse">
                  <a:avLst/>
                </a:prstGeom>
                <ask:type>
                  <ask:lineSketchScribble/>
                </ask:type>
              </ask:lineSketchStyleProps>
            </a:ext>
          </a:extLst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52</xdr:col>
      <xdr:colOff>38215</xdr:colOff>
      <xdr:row>10</xdr:row>
      <xdr:rowOff>57537</xdr:rowOff>
    </xdr:from>
    <xdr:to>
      <xdr:col>52</xdr:col>
      <xdr:colOff>303324</xdr:colOff>
      <xdr:row>11</xdr:row>
      <xdr:rowOff>21135</xdr:rowOff>
    </xdr:to>
    <xdr:sp macro="" textlink="">
      <xdr:nvSpPr>
        <xdr:cNvPr id="21" name="Oval 20">
          <a:extLst>
            <a:ext uri="{FF2B5EF4-FFF2-40B4-BE49-F238E27FC236}">
              <a16:creationId xmlns:a16="http://schemas.microsoft.com/office/drawing/2014/main" id="{4E942CCC-DD14-F242-9663-6843BC693935}"/>
            </a:ext>
          </a:extLst>
        </xdr:cNvPr>
        <xdr:cNvSpPr/>
      </xdr:nvSpPr>
      <xdr:spPr>
        <a:xfrm>
          <a:off x="17005415" y="2648337"/>
          <a:ext cx="265109" cy="179498"/>
        </a:xfrm>
        <a:custGeom>
          <a:avLst/>
          <a:gdLst>
            <a:gd name="csX0" fmla="*/ 0 w 265109"/>
            <a:gd name="csY0" fmla="*/ 89749 h 179498"/>
            <a:gd name="csX1" fmla="*/ 132555 w 265109"/>
            <a:gd name="csY1" fmla="*/ 0 h 179498"/>
            <a:gd name="csX2" fmla="*/ 265110 w 265109"/>
            <a:gd name="csY2" fmla="*/ 89749 h 179498"/>
            <a:gd name="csX3" fmla="*/ 132555 w 265109"/>
            <a:gd name="csY3" fmla="*/ 179498 h 179498"/>
            <a:gd name="csX4" fmla="*/ 0 w 265109"/>
            <a:gd name="csY4" fmla="*/ 89749 h 179498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</a:cxnLst>
          <a:rect l="l" t="t" r="r" b="b"/>
          <a:pathLst>
            <a:path w="265109" h="179498" fill="none" extrusionOk="0">
              <a:moveTo>
                <a:pt x="0" y="89749"/>
              </a:moveTo>
              <a:cubicBezTo>
                <a:pt x="16308" y="42117"/>
                <a:pt x="67523" y="-16827"/>
                <a:pt x="132555" y="0"/>
              </a:cubicBezTo>
              <a:cubicBezTo>
                <a:pt x="204693" y="-164"/>
                <a:pt x="258689" y="46227"/>
                <a:pt x="265110" y="89749"/>
              </a:cubicBezTo>
              <a:cubicBezTo>
                <a:pt x="264834" y="136679"/>
                <a:pt x="202922" y="183447"/>
                <a:pt x="132555" y="179498"/>
              </a:cubicBezTo>
              <a:cubicBezTo>
                <a:pt x="69846" y="185376"/>
                <a:pt x="14456" y="142792"/>
                <a:pt x="0" y="89749"/>
              </a:cubicBezTo>
              <a:close/>
            </a:path>
            <a:path w="265109" h="179498" stroke="0" extrusionOk="0">
              <a:moveTo>
                <a:pt x="0" y="89749"/>
              </a:moveTo>
              <a:cubicBezTo>
                <a:pt x="-15906" y="30371"/>
                <a:pt x="47419" y="4477"/>
                <a:pt x="132555" y="0"/>
              </a:cubicBezTo>
              <a:cubicBezTo>
                <a:pt x="217437" y="2458"/>
                <a:pt x="258027" y="40407"/>
                <a:pt x="265110" y="89749"/>
              </a:cubicBezTo>
              <a:cubicBezTo>
                <a:pt x="256480" y="147743"/>
                <a:pt x="203685" y="190984"/>
                <a:pt x="132555" y="179498"/>
              </a:cubicBezTo>
              <a:cubicBezTo>
                <a:pt x="53527" y="176314"/>
                <a:pt x="12106" y="145100"/>
                <a:pt x="0" y="89749"/>
              </a:cubicBezTo>
              <a:close/>
            </a:path>
          </a:pathLst>
        </a:custGeom>
        <a:solidFill>
          <a:schemeClr val="bg2">
            <a:lumMod val="90000"/>
            <a:alpha val="46000"/>
          </a:schemeClr>
        </a:solidFill>
        <a:ln w="9525">
          <a:solidFill>
            <a:schemeClr val="tx1">
              <a:lumMod val="65000"/>
              <a:lumOff val="35000"/>
            </a:schemeClr>
          </a:solidFill>
          <a:extLst>
            <a:ext uri="{C807C97D-BFC1-408E-A445-0C87EB9F89A2}">
              <ask:lineSketchStyleProps xmlns:ask="http://schemas.microsoft.com/office/drawing/2018/sketchyshapes" sd="1219033472">
                <a:prstGeom prst="ellipse">
                  <a:avLst/>
                </a:prstGeom>
                <ask:type>
                  <ask:lineSketchScribble/>
                </ask:type>
              </ask:lineSketchStyleProps>
            </a:ext>
          </a:extLst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52</xdr:col>
      <xdr:colOff>33756</xdr:colOff>
      <xdr:row>11</xdr:row>
      <xdr:rowOff>31873</xdr:rowOff>
    </xdr:from>
    <xdr:to>
      <xdr:col>52</xdr:col>
      <xdr:colOff>298865</xdr:colOff>
      <xdr:row>11</xdr:row>
      <xdr:rowOff>185833</xdr:rowOff>
    </xdr:to>
    <xdr:sp macro="" textlink="">
      <xdr:nvSpPr>
        <xdr:cNvPr id="22" name="Oval 21">
          <a:extLst>
            <a:ext uri="{FF2B5EF4-FFF2-40B4-BE49-F238E27FC236}">
              <a16:creationId xmlns:a16="http://schemas.microsoft.com/office/drawing/2014/main" id="{28DB11A2-4AE5-A94C-97AD-3FF1638FC6C4}"/>
            </a:ext>
          </a:extLst>
        </xdr:cNvPr>
        <xdr:cNvSpPr/>
      </xdr:nvSpPr>
      <xdr:spPr>
        <a:xfrm>
          <a:off x="17000956" y="2838573"/>
          <a:ext cx="265109" cy="153960"/>
        </a:xfrm>
        <a:custGeom>
          <a:avLst/>
          <a:gdLst>
            <a:gd name="csX0" fmla="*/ 0 w 265109"/>
            <a:gd name="csY0" fmla="*/ 76980 h 153960"/>
            <a:gd name="csX1" fmla="*/ 132555 w 265109"/>
            <a:gd name="csY1" fmla="*/ 0 h 153960"/>
            <a:gd name="csX2" fmla="*/ 265110 w 265109"/>
            <a:gd name="csY2" fmla="*/ 76980 h 153960"/>
            <a:gd name="csX3" fmla="*/ 132555 w 265109"/>
            <a:gd name="csY3" fmla="*/ 153960 h 153960"/>
            <a:gd name="csX4" fmla="*/ 0 w 265109"/>
            <a:gd name="csY4" fmla="*/ 76980 h 153960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</a:cxnLst>
          <a:rect l="l" t="t" r="r" b="b"/>
          <a:pathLst>
            <a:path w="265109" h="153960" fill="none" extrusionOk="0">
              <a:moveTo>
                <a:pt x="0" y="76980"/>
              </a:moveTo>
              <a:cubicBezTo>
                <a:pt x="10710" y="35736"/>
                <a:pt x="66318" y="-14347"/>
                <a:pt x="132555" y="0"/>
              </a:cubicBezTo>
              <a:cubicBezTo>
                <a:pt x="199476" y="-963"/>
                <a:pt x="256472" y="42597"/>
                <a:pt x="265110" y="76980"/>
              </a:cubicBezTo>
              <a:cubicBezTo>
                <a:pt x="263053" y="99883"/>
                <a:pt x="195651" y="168012"/>
                <a:pt x="132555" y="153960"/>
              </a:cubicBezTo>
              <a:cubicBezTo>
                <a:pt x="64735" y="156976"/>
                <a:pt x="3639" y="120370"/>
                <a:pt x="0" y="76980"/>
              </a:cubicBezTo>
              <a:close/>
            </a:path>
            <a:path w="265109" h="153960" stroke="0" extrusionOk="0">
              <a:moveTo>
                <a:pt x="0" y="76980"/>
              </a:moveTo>
              <a:cubicBezTo>
                <a:pt x="-10484" y="27998"/>
                <a:pt x="54116" y="1963"/>
                <a:pt x="132555" y="0"/>
              </a:cubicBezTo>
              <a:cubicBezTo>
                <a:pt x="210004" y="893"/>
                <a:pt x="254497" y="34802"/>
                <a:pt x="265110" y="76980"/>
              </a:cubicBezTo>
              <a:cubicBezTo>
                <a:pt x="254847" y="129517"/>
                <a:pt x="202629" y="171280"/>
                <a:pt x="132555" y="153960"/>
              </a:cubicBezTo>
              <a:cubicBezTo>
                <a:pt x="49773" y="148722"/>
                <a:pt x="2872" y="120867"/>
                <a:pt x="0" y="76980"/>
              </a:cubicBezTo>
              <a:close/>
            </a:path>
          </a:pathLst>
        </a:custGeom>
        <a:solidFill>
          <a:schemeClr val="bg2">
            <a:lumMod val="90000"/>
            <a:alpha val="46000"/>
          </a:schemeClr>
        </a:solidFill>
        <a:ln w="9525">
          <a:solidFill>
            <a:schemeClr val="tx1">
              <a:lumMod val="65000"/>
              <a:lumOff val="35000"/>
            </a:schemeClr>
          </a:solidFill>
          <a:extLst>
            <a:ext uri="{C807C97D-BFC1-408E-A445-0C87EB9F89A2}">
              <ask:lineSketchStyleProps xmlns:ask="http://schemas.microsoft.com/office/drawing/2018/sketchyshapes" sd="1219033472">
                <a:prstGeom prst="ellipse">
                  <a:avLst/>
                </a:prstGeom>
                <ask:type>
                  <ask:lineSketchScribble/>
                </ask:type>
              </ask:lineSketchStyleProps>
            </a:ext>
          </a:extLst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55</xdr:col>
      <xdr:colOff>34468</xdr:colOff>
      <xdr:row>10</xdr:row>
      <xdr:rowOff>53790</xdr:rowOff>
    </xdr:from>
    <xdr:to>
      <xdr:col>55</xdr:col>
      <xdr:colOff>299577</xdr:colOff>
      <xdr:row>11</xdr:row>
      <xdr:rowOff>17388</xdr:rowOff>
    </xdr:to>
    <xdr:sp macro="" textlink="">
      <xdr:nvSpPr>
        <xdr:cNvPr id="23" name="Oval 22">
          <a:extLst>
            <a:ext uri="{FF2B5EF4-FFF2-40B4-BE49-F238E27FC236}">
              <a16:creationId xmlns:a16="http://schemas.microsoft.com/office/drawing/2014/main" id="{C18F8B4D-8151-DB42-9239-6BF32B58939E}"/>
            </a:ext>
          </a:extLst>
        </xdr:cNvPr>
        <xdr:cNvSpPr/>
      </xdr:nvSpPr>
      <xdr:spPr>
        <a:xfrm>
          <a:off x="17954168" y="2644590"/>
          <a:ext cx="265109" cy="179498"/>
        </a:xfrm>
        <a:custGeom>
          <a:avLst/>
          <a:gdLst>
            <a:gd name="csX0" fmla="*/ 0 w 265109"/>
            <a:gd name="csY0" fmla="*/ 89749 h 179498"/>
            <a:gd name="csX1" fmla="*/ 132555 w 265109"/>
            <a:gd name="csY1" fmla="*/ 0 h 179498"/>
            <a:gd name="csX2" fmla="*/ 265110 w 265109"/>
            <a:gd name="csY2" fmla="*/ 89749 h 179498"/>
            <a:gd name="csX3" fmla="*/ 132555 w 265109"/>
            <a:gd name="csY3" fmla="*/ 179498 h 179498"/>
            <a:gd name="csX4" fmla="*/ 0 w 265109"/>
            <a:gd name="csY4" fmla="*/ 89749 h 179498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</a:cxnLst>
          <a:rect l="l" t="t" r="r" b="b"/>
          <a:pathLst>
            <a:path w="265109" h="179498" fill="none" extrusionOk="0">
              <a:moveTo>
                <a:pt x="0" y="89749"/>
              </a:moveTo>
              <a:cubicBezTo>
                <a:pt x="16308" y="42117"/>
                <a:pt x="67523" y="-16827"/>
                <a:pt x="132555" y="0"/>
              </a:cubicBezTo>
              <a:cubicBezTo>
                <a:pt x="204693" y="-164"/>
                <a:pt x="258689" y="46227"/>
                <a:pt x="265110" y="89749"/>
              </a:cubicBezTo>
              <a:cubicBezTo>
                <a:pt x="264834" y="136679"/>
                <a:pt x="202922" y="183447"/>
                <a:pt x="132555" y="179498"/>
              </a:cubicBezTo>
              <a:cubicBezTo>
                <a:pt x="69846" y="185376"/>
                <a:pt x="14456" y="142792"/>
                <a:pt x="0" y="89749"/>
              </a:cubicBezTo>
              <a:close/>
            </a:path>
            <a:path w="265109" h="179498" stroke="0" extrusionOk="0">
              <a:moveTo>
                <a:pt x="0" y="89749"/>
              </a:moveTo>
              <a:cubicBezTo>
                <a:pt x="-15906" y="30371"/>
                <a:pt x="47419" y="4477"/>
                <a:pt x="132555" y="0"/>
              </a:cubicBezTo>
              <a:cubicBezTo>
                <a:pt x="217437" y="2458"/>
                <a:pt x="258027" y="40407"/>
                <a:pt x="265110" y="89749"/>
              </a:cubicBezTo>
              <a:cubicBezTo>
                <a:pt x="256480" y="147743"/>
                <a:pt x="203685" y="190984"/>
                <a:pt x="132555" y="179498"/>
              </a:cubicBezTo>
              <a:cubicBezTo>
                <a:pt x="53527" y="176314"/>
                <a:pt x="12106" y="145100"/>
                <a:pt x="0" y="89749"/>
              </a:cubicBezTo>
              <a:close/>
            </a:path>
          </a:pathLst>
        </a:custGeom>
        <a:solidFill>
          <a:schemeClr val="bg2">
            <a:lumMod val="90000"/>
            <a:alpha val="46000"/>
          </a:schemeClr>
        </a:solidFill>
        <a:ln w="9525">
          <a:solidFill>
            <a:schemeClr val="tx1">
              <a:lumMod val="65000"/>
              <a:lumOff val="35000"/>
            </a:schemeClr>
          </a:solidFill>
          <a:extLst>
            <a:ext uri="{C807C97D-BFC1-408E-A445-0C87EB9F89A2}">
              <ask:lineSketchStyleProps xmlns:ask="http://schemas.microsoft.com/office/drawing/2018/sketchyshapes" sd="1219033472">
                <a:prstGeom prst="ellipse">
                  <a:avLst/>
                </a:prstGeom>
                <ask:type>
                  <ask:lineSketchScribble/>
                </ask:type>
              </ask:lineSketchStyleProps>
            </a:ext>
          </a:extLst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55</xdr:col>
      <xdr:colOff>24804</xdr:colOff>
      <xdr:row>8</xdr:row>
      <xdr:rowOff>28126</xdr:rowOff>
    </xdr:from>
    <xdr:to>
      <xdr:col>55</xdr:col>
      <xdr:colOff>289913</xdr:colOff>
      <xdr:row>8</xdr:row>
      <xdr:rowOff>182086</xdr:rowOff>
    </xdr:to>
    <xdr:sp macro="" textlink="">
      <xdr:nvSpPr>
        <xdr:cNvPr id="24" name="Oval 23">
          <a:extLst>
            <a:ext uri="{FF2B5EF4-FFF2-40B4-BE49-F238E27FC236}">
              <a16:creationId xmlns:a16="http://schemas.microsoft.com/office/drawing/2014/main" id="{12599C95-A0FD-CE45-83B4-5F1BFD463E61}"/>
            </a:ext>
          </a:extLst>
        </xdr:cNvPr>
        <xdr:cNvSpPr/>
      </xdr:nvSpPr>
      <xdr:spPr>
        <a:xfrm>
          <a:off x="17944504" y="2187126"/>
          <a:ext cx="265109" cy="153960"/>
        </a:xfrm>
        <a:custGeom>
          <a:avLst/>
          <a:gdLst>
            <a:gd name="csX0" fmla="*/ 0 w 265109"/>
            <a:gd name="csY0" fmla="*/ 76980 h 153960"/>
            <a:gd name="csX1" fmla="*/ 132555 w 265109"/>
            <a:gd name="csY1" fmla="*/ 0 h 153960"/>
            <a:gd name="csX2" fmla="*/ 265110 w 265109"/>
            <a:gd name="csY2" fmla="*/ 76980 h 153960"/>
            <a:gd name="csX3" fmla="*/ 132555 w 265109"/>
            <a:gd name="csY3" fmla="*/ 153960 h 153960"/>
            <a:gd name="csX4" fmla="*/ 0 w 265109"/>
            <a:gd name="csY4" fmla="*/ 76980 h 153960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</a:cxnLst>
          <a:rect l="l" t="t" r="r" b="b"/>
          <a:pathLst>
            <a:path w="265109" h="153960" fill="none" extrusionOk="0">
              <a:moveTo>
                <a:pt x="0" y="76980"/>
              </a:moveTo>
              <a:cubicBezTo>
                <a:pt x="10710" y="35736"/>
                <a:pt x="66318" y="-14347"/>
                <a:pt x="132555" y="0"/>
              </a:cubicBezTo>
              <a:cubicBezTo>
                <a:pt x="199476" y="-963"/>
                <a:pt x="256472" y="42597"/>
                <a:pt x="265110" y="76980"/>
              </a:cubicBezTo>
              <a:cubicBezTo>
                <a:pt x="263053" y="99883"/>
                <a:pt x="195651" y="168012"/>
                <a:pt x="132555" y="153960"/>
              </a:cubicBezTo>
              <a:cubicBezTo>
                <a:pt x="64735" y="156976"/>
                <a:pt x="3639" y="120370"/>
                <a:pt x="0" y="76980"/>
              </a:cubicBezTo>
              <a:close/>
            </a:path>
            <a:path w="265109" h="153960" stroke="0" extrusionOk="0">
              <a:moveTo>
                <a:pt x="0" y="76980"/>
              </a:moveTo>
              <a:cubicBezTo>
                <a:pt x="-10484" y="27998"/>
                <a:pt x="54116" y="1963"/>
                <a:pt x="132555" y="0"/>
              </a:cubicBezTo>
              <a:cubicBezTo>
                <a:pt x="210004" y="893"/>
                <a:pt x="254497" y="34802"/>
                <a:pt x="265110" y="76980"/>
              </a:cubicBezTo>
              <a:cubicBezTo>
                <a:pt x="254847" y="129517"/>
                <a:pt x="202629" y="171280"/>
                <a:pt x="132555" y="153960"/>
              </a:cubicBezTo>
              <a:cubicBezTo>
                <a:pt x="49773" y="148722"/>
                <a:pt x="2872" y="120867"/>
                <a:pt x="0" y="76980"/>
              </a:cubicBezTo>
              <a:close/>
            </a:path>
          </a:pathLst>
        </a:custGeom>
        <a:solidFill>
          <a:schemeClr val="bg2">
            <a:lumMod val="90000"/>
            <a:alpha val="46000"/>
          </a:schemeClr>
        </a:solidFill>
        <a:ln w="9525">
          <a:solidFill>
            <a:schemeClr val="tx1">
              <a:lumMod val="65000"/>
              <a:lumOff val="35000"/>
            </a:schemeClr>
          </a:solidFill>
          <a:extLst>
            <a:ext uri="{C807C97D-BFC1-408E-A445-0C87EB9F89A2}">
              <ask:lineSketchStyleProps xmlns:ask="http://schemas.microsoft.com/office/drawing/2018/sketchyshapes" sd="1219033472">
                <a:prstGeom prst="ellipse">
                  <a:avLst/>
                </a:prstGeom>
                <ask:type>
                  <ask:lineSketchScribble/>
                </ask:type>
              </ask:lineSketchStyleProps>
            </a:ext>
          </a:extLst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55</xdr:col>
      <xdr:colOff>20311</xdr:colOff>
      <xdr:row>9</xdr:row>
      <xdr:rowOff>44838</xdr:rowOff>
    </xdr:from>
    <xdr:to>
      <xdr:col>55</xdr:col>
      <xdr:colOff>285420</xdr:colOff>
      <xdr:row>10</xdr:row>
      <xdr:rowOff>8436</xdr:rowOff>
    </xdr:to>
    <xdr:sp macro="" textlink="">
      <xdr:nvSpPr>
        <xdr:cNvPr id="25" name="Oval 24">
          <a:extLst>
            <a:ext uri="{FF2B5EF4-FFF2-40B4-BE49-F238E27FC236}">
              <a16:creationId xmlns:a16="http://schemas.microsoft.com/office/drawing/2014/main" id="{452AEAA2-C411-7A43-BB10-86D90A627483}"/>
            </a:ext>
          </a:extLst>
        </xdr:cNvPr>
        <xdr:cNvSpPr/>
      </xdr:nvSpPr>
      <xdr:spPr>
        <a:xfrm>
          <a:off x="17940011" y="2419738"/>
          <a:ext cx="265109" cy="179498"/>
        </a:xfrm>
        <a:custGeom>
          <a:avLst/>
          <a:gdLst>
            <a:gd name="csX0" fmla="*/ 0 w 265109"/>
            <a:gd name="csY0" fmla="*/ 89749 h 179498"/>
            <a:gd name="csX1" fmla="*/ 132555 w 265109"/>
            <a:gd name="csY1" fmla="*/ 0 h 179498"/>
            <a:gd name="csX2" fmla="*/ 265110 w 265109"/>
            <a:gd name="csY2" fmla="*/ 89749 h 179498"/>
            <a:gd name="csX3" fmla="*/ 132555 w 265109"/>
            <a:gd name="csY3" fmla="*/ 179498 h 179498"/>
            <a:gd name="csX4" fmla="*/ 0 w 265109"/>
            <a:gd name="csY4" fmla="*/ 89749 h 179498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</a:cxnLst>
          <a:rect l="l" t="t" r="r" b="b"/>
          <a:pathLst>
            <a:path w="265109" h="179498" fill="none" extrusionOk="0">
              <a:moveTo>
                <a:pt x="0" y="89749"/>
              </a:moveTo>
              <a:cubicBezTo>
                <a:pt x="16308" y="42117"/>
                <a:pt x="67523" y="-16827"/>
                <a:pt x="132555" y="0"/>
              </a:cubicBezTo>
              <a:cubicBezTo>
                <a:pt x="204693" y="-164"/>
                <a:pt x="258689" y="46227"/>
                <a:pt x="265110" y="89749"/>
              </a:cubicBezTo>
              <a:cubicBezTo>
                <a:pt x="264834" y="136679"/>
                <a:pt x="202922" y="183447"/>
                <a:pt x="132555" y="179498"/>
              </a:cubicBezTo>
              <a:cubicBezTo>
                <a:pt x="69846" y="185376"/>
                <a:pt x="14456" y="142792"/>
                <a:pt x="0" y="89749"/>
              </a:cubicBezTo>
              <a:close/>
            </a:path>
            <a:path w="265109" h="179498" stroke="0" extrusionOk="0">
              <a:moveTo>
                <a:pt x="0" y="89749"/>
              </a:moveTo>
              <a:cubicBezTo>
                <a:pt x="-15906" y="30371"/>
                <a:pt x="47419" y="4477"/>
                <a:pt x="132555" y="0"/>
              </a:cubicBezTo>
              <a:cubicBezTo>
                <a:pt x="217437" y="2458"/>
                <a:pt x="258027" y="40407"/>
                <a:pt x="265110" y="89749"/>
              </a:cubicBezTo>
              <a:cubicBezTo>
                <a:pt x="256480" y="147743"/>
                <a:pt x="203685" y="190984"/>
                <a:pt x="132555" y="179498"/>
              </a:cubicBezTo>
              <a:cubicBezTo>
                <a:pt x="53527" y="176314"/>
                <a:pt x="12106" y="145100"/>
                <a:pt x="0" y="89749"/>
              </a:cubicBezTo>
              <a:close/>
            </a:path>
          </a:pathLst>
        </a:custGeom>
        <a:solidFill>
          <a:schemeClr val="bg2">
            <a:lumMod val="90000"/>
            <a:alpha val="46000"/>
          </a:schemeClr>
        </a:solidFill>
        <a:ln w="9525">
          <a:solidFill>
            <a:schemeClr val="tx1">
              <a:lumMod val="65000"/>
              <a:lumOff val="35000"/>
            </a:schemeClr>
          </a:solidFill>
          <a:extLst>
            <a:ext uri="{C807C97D-BFC1-408E-A445-0C87EB9F89A2}">
              <ask:lineSketchStyleProps xmlns:ask="http://schemas.microsoft.com/office/drawing/2018/sketchyshapes" sd="1219033472">
                <a:prstGeom prst="ellipse">
                  <a:avLst/>
                </a:prstGeom>
                <ask:type>
                  <ask:lineSketchScribble/>
                </ask:type>
              </ask:lineSketchStyleProps>
            </a:ext>
          </a:extLst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55</xdr:col>
      <xdr:colOff>25515</xdr:colOff>
      <xdr:row>11</xdr:row>
      <xdr:rowOff>50043</xdr:rowOff>
    </xdr:from>
    <xdr:to>
      <xdr:col>55</xdr:col>
      <xdr:colOff>290624</xdr:colOff>
      <xdr:row>12</xdr:row>
      <xdr:rowOff>13641</xdr:rowOff>
    </xdr:to>
    <xdr:sp macro="" textlink="">
      <xdr:nvSpPr>
        <xdr:cNvPr id="26" name="Oval 25">
          <a:extLst>
            <a:ext uri="{FF2B5EF4-FFF2-40B4-BE49-F238E27FC236}">
              <a16:creationId xmlns:a16="http://schemas.microsoft.com/office/drawing/2014/main" id="{B844F979-5FCC-D049-85A0-12A2DFD3C164}"/>
            </a:ext>
          </a:extLst>
        </xdr:cNvPr>
        <xdr:cNvSpPr/>
      </xdr:nvSpPr>
      <xdr:spPr>
        <a:xfrm>
          <a:off x="17945215" y="2856743"/>
          <a:ext cx="265109" cy="179498"/>
        </a:xfrm>
        <a:custGeom>
          <a:avLst/>
          <a:gdLst>
            <a:gd name="csX0" fmla="*/ 0 w 265109"/>
            <a:gd name="csY0" fmla="*/ 89749 h 179498"/>
            <a:gd name="csX1" fmla="*/ 132555 w 265109"/>
            <a:gd name="csY1" fmla="*/ 0 h 179498"/>
            <a:gd name="csX2" fmla="*/ 265110 w 265109"/>
            <a:gd name="csY2" fmla="*/ 89749 h 179498"/>
            <a:gd name="csX3" fmla="*/ 132555 w 265109"/>
            <a:gd name="csY3" fmla="*/ 179498 h 179498"/>
            <a:gd name="csX4" fmla="*/ 0 w 265109"/>
            <a:gd name="csY4" fmla="*/ 89749 h 179498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</a:cxnLst>
          <a:rect l="l" t="t" r="r" b="b"/>
          <a:pathLst>
            <a:path w="265109" h="179498" fill="none" extrusionOk="0">
              <a:moveTo>
                <a:pt x="0" y="89749"/>
              </a:moveTo>
              <a:cubicBezTo>
                <a:pt x="16308" y="42117"/>
                <a:pt x="67523" y="-16827"/>
                <a:pt x="132555" y="0"/>
              </a:cubicBezTo>
              <a:cubicBezTo>
                <a:pt x="204693" y="-164"/>
                <a:pt x="258689" y="46227"/>
                <a:pt x="265110" y="89749"/>
              </a:cubicBezTo>
              <a:cubicBezTo>
                <a:pt x="264834" y="136679"/>
                <a:pt x="202922" y="183447"/>
                <a:pt x="132555" y="179498"/>
              </a:cubicBezTo>
              <a:cubicBezTo>
                <a:pt x="69846" y="185376"/>
                <a:pt x="14456" y="142792"/>
                <a:pt x="0" y="89749"/>
              </a:cubicBezTo>
              <a:close/>
            </a:path>
            <a:path w="265109" h="179498" stroke="0" extrusionOk="0">
              <a:moveTo>
                <a:pt x="0" y="89749"/>
              </a:moveTo>
              <a:cubicBezTo>
                <a:pt x="-15906" y="30371"/>
                <a:pt x="47419" y="4477"/>
                <a:pt x="132555" y="0"/>
              </a:cubicBezTo>
              <a:cubicBezTo>
                <a:pt x="217437" y="2458"/>
                <a:pt x="258027" y="40407"/>
                <a:pt x="265110" y="89749"/>
              </a:cubicBezTo>
              <a:cubicBezTo>
                <a:pt x="256480" y="147743"/>
                <a:pt x="203685" y="190984"/>
                <a:pt x="132555" y="179498"/>
              </a:cubicBezTo>
              <a:cubicBezTo>
                <a:pt x="53527" y="176314"/>
                <a:pt x="12106" y="145100"/>
                <a:pt x="0" y="89749"/>
              </a:cubicBezTo>
              <a:close/>
            </a:path>
          </a:pathLst>
        </a:custGeom>
        <a:solidFill>
          <a:schemeClr val="bg2">
            <a:lumMod val="90000"/>
            <a:alpha val="46000"/>
          </a:schemeClr>
        </a:solidFill>
        <a:ln w="9525">
          <a:solidFill>
            <a:schemeClr val="tx1">
              <a:lumMod val="65000"/>
              <a:lumOff val="35000"/>
            </a:schemeClr>
          </a:solidFill>
          <a:extLst>
            <a:ext uri="{C807C97D-BFC1-408E-A445-0C87EB9F89A2}">
              <ask:lineSketchStyleProps xmlns:ask="http://schemas.microsoft.com/office/drawing/2018/sketchyshapes" sd="1219033472">
                <a:prstGeom prst="ellipse">
                  <a:avLst/>
                </a:prstGeom>
                <ask:type>
                  <ask:lineSketchScribble/>
                </ask:type>
              </ask:lineSketchStyleProps>
            </a:ext>
          </a:extLst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46</xdr:col>
      <xdr:colOff>321734</xdr:colOff>
      <xdr:row>5</xdr:row>
      <xdr:rowOff>50802</xdr:rowOff>
    </xdr:from>
    <xdr:to>
      <xdr:col>49</xdr:col>
      <xdr:colOff>29232</xdr:colOff>
      <xdr:row>13</xdr:row>
      <xdr:rowOff>170506</xdr:rowOff>
    </xdr:to>
    <xdr:sp macro="" textlink="">
      <xdr:nvSpPr>
        <xdr:cNvPr id="27" name="Triangle 26">
          <a:extLst>
            <a:ext uri="{FF2B5EF4-FFF2-40B4-BE49-F238E27FC236}">
              <a16:creationId xmlns:a16="http://schemas.microsoft.com/office/drawing/2014/main" id="{F5E5055F-8E1A-FF4F-9819-30CBF55D1BCC}"/>
            </a:ext>
          </a:extLst>
        </xdr:cNvPr>
        <xdr:cNvSpPr/>
      </xdr:nvSpPr>
      <xdr:spPr>
        <a:xfrm rot="5400000">
          <a:off x="14765081" y="2130155"/>
          <a:ext cx="1846904" cy="710798"/>
        </a:xfrm>
        <a:prstGeom prst="triangle">
          <a:avLst>
            <a:gd name="adj" fmla="val 15103"/>
          </a:avLst>
        </a:prstGeom>
        <a:solidFill>
          <a:schemeClr val="bg1">
            <a:lumMod val="75000"/>
            <a:alpha val="24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47</xdr:col>
      <xdr:colOff>66</xdr:colOff>
      <xdr:row>5</xdr:row>
      <xdr:rowOff>59336</xdr:rowOff>
    </xdr:from>
    <xdr:to>
      <xdr:col>49</xdr:col>
      <xdr:colOff>38977</xdr:colOff>
      <xdr:row>13</xdr:row>
      <xdr:rowOff>177800</xdr:rowOff>
    </xdr:to>
    <xdr:sp macro="" textlink="">
      <xdr:nvSpPr>
        <xdr:cNvPr id="28" name="Triangle 27">
          <a:extLst>
            <a:ext uri="{FF2B5EF4-FFF2-40B4-BE49-F238E27FC236}">
              <a16:creationId xmlns:a16="http://schemas.microsoft.com/office/drawing/2014/main" id="{7A6F5E8B-ED99-CA4D-A94F-4080DA8C45FF}"/>
            </a:ext>
          </a:extLst>
        </xdr:cNvPr>
        <xdr:cNvSpPr/>
      </xdr:nvSpPr>
      <xdr:spPr>
        <a:xfrm rot="5400000">
          <a:off x="14774840" y="2137462"/>
          <a:ext cx="1845664" cy="712011"/>
        </a:xfrm>
        <a:prstGeom prst="triangle">
          <a:avLst>
            <a:gd name="adj" fmla="val 27284"/>
          </a:avLst>
        </a:prstGeom>
        <a:solidFill>
          <a:schemeClr val="bg1">
            <a:lumMod val="75000"/>
            <a:alpha val="24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46</xdr:col>
      <xdr:colOff>323916</xdr:colOff>
      <xdr:row>5</xdr:row>
      <xdr:rowOff>52986</xdr:rowOff>
    </xdr:from>
    <xdr:to>
      <xdr:col>49</xdr:col>
      <xdr:colOff>33866</xdr:colOff>
      <xdr:row>13</xdr:row>
      <xdr:rowOff>193183</xdr:rowOff>
    </xdr:to>
    <xdr:sp macro="" textlink="">
      <xdr:nvSpPr>
        <xdr:cNvPr id="29" name="Triangle 28">
          <a:extLst>
            <a:ext uri="{FF2B5EF4-FFF2-40B4-BE49-F238E27FC236}">
              <a16:creationId xmlns:a16="http://schemas.microsoft.com/office/drawing/2014/main" id="{A09DFC35-0A84-CC4E-9806-D058B9B4079F}"/>
            </a:ext>
          </a:extLst>
        </xdr:cNvPr>
        <xdr:cNvSpPr/>
      </xdr:nvSpPr>
      <xdr:spPr>
        <a:xfrm rot="5400000">
          <a:off x="14758242" y="2141360"/>
          <a:ext cx="1867397" cy="713250"/>
        </a:xfrm>
        <a:prstGeom prst="triangle">
          <a:avLst>
            <a:gd name="adj" fmla="val 38903"/>
          </a:avLst>
        </a:prstGeom>
        <a:solidFill>
          <a:schemeClr val="bg1">
            <a:lumMod val="75000"/>
            <a:alpha val="24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46</xdr:col>
      <xdr:colOff>327488</xdr:colOff>
      <xdr:row>5</xdr:row>
      <xdr:rowOff>61520</xdr:rowOff>
    </xdr:from>
    <xdr:to>
      <xdr:col>49</xdr:col>
      <xdr:colOff>33866</xdr:colOff>
      <xdr:row>13</xdr:row>
      <xdr:rowOff>162945</xdr:rowOff>
    </xdr:to>
    <xdr:sp macro="" textlink="">
      <xdr:nvSpPr>
        <xdr:cNvPr id="30" name="Triangle 29">
          <a:extLst>
            <a:ext uri="{FF2B5EF4-FFF2-40B4-BE49-F238E27FC236}">
              <a16:creationId xmlns:a16="http://schemas.microsoft.com/office/drawing/2014/main" id="{1F6DACD4-FA98-9449-967D-66384C165909}"/>
            </a:ext>
          </a:extLst>
        </xdr:cNvPr>
        <xdr:cNvSpPr/>
      </xdr:nvSpPr>
      <xdr:spPr>
        <a:xfrm rot="5400000">
          <a:off x="14779414" y="2132294"/>
          <a:ext cx="1828625" cy="709678"/>
        </a:xfrm>
        <a:prstGeom prst="triangle">
          <a:avLst>
            <a:gd name="adj" fmla="val 48753"/>
          </a:avLst>
        </a:prstGeom>
        <a:solidFill>
          <a:schemeClr val="bg1">
            <a:lumMod val="75000"/>
            <a:alpha val="24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46</xdr:col>
      <xdr:colOff>327228</xdr:colOff>
      <xdr:row>5</xdr:row>
      <xdr:rowOff>80750</xdr:rowOff>
    </xdr:from>
    <xdr:to>
      <xdr:col>49</xdr:col>
      <xdr:colOff>33606</xdr:colOff>
      <xdr:row>13</xdr:row>
      <xdr:rowOff>182175</xdr:rowOff>
    </xdr:to>
    <xdr:sp macro="" textlink="">
      <xdr:nvSpPr>
        <xdr:cNvPr id="31" name="Triangle 30">
          <a:extLst>
            <a:ext uri="{FF2B5EF4-FFF2-40B4-BE49-F238E27FC236}">
              <a16:creationId xmlns:a16="http://schemas.microsoft.com/office/drawing/2014/main" id="{2CAA3C47-4C8B-5342-94D1-D4583FF929CF}"/>
            </a:ext>
          </a:extLst>
        </xdr:cNvPr>
        <xdr:cNvSpPr/>
      </xdr:nvSpPr>
      <xdr:spPr>
        <a:xfrm rot="5400000">
          <a:off x="14779154" y="2151524"/>
          <a:ext cx="1828625" cy="709678"/>
        </a:xfrm>
        <a:prstGeom prst="triangle">
          <a:avLst>
            <a:gd name="adj" fmla="val 58888"/>
          </a:avLst>
        </a:prstGeom>
        <a:solidFill>
          <a:schemeClr val="bg1">
            <a:lumMod val="75000"/>
            <a:alpha val="24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46</xdr:col>
      <xdr:colOff>320472</xdr:colOff>
      <xdr:row>5</xdr:row>
      <xdr:rowOff>73995</xdr:rowOff>
    </xdr:from>
    <xdr:to>
      <xdr:col>49</xdr:col>
      <xdr:colOff>26850</xdr:colOff>
      <xdr:row>13</xdr:row>
      <xdr:rowOff>175420</xdr:rowOff>
    </xdr:to>
    <xdr:sp macro="" textlink="">
      <xdr:nvSpPr>
        <xdr:cNvPr id="32" name="Triangle 31">
          <a:extLst>
            <a:ext uri="{FF2B5EF4-FFF2-40B4-BE49-F238E27FC236}">
              <a16:creationId xmlns:a16="http://schemas.microsoft.com/office/drawing/2014/main" id="{5AAF419A-E9F4-B842-A544-C4DE2ADBEAD7}"/>
            </a:ext>
          </a:extLst>
        </xdr:cNvPr>
        <xdr:cNvSpPr/>
      </xdr:nvSpPr>
      <xdr:spPr>
        <a:xfrm rot="5400000">
          <a:off x="14772398" y="2144769"/>
          <a:ext cx="1828625" cy="709678"/>
        </a:xfrm>
        <a:prstGeom prst="triangle">
          <a:avLst>
            <a:gd name="adj" fmla="val 72400"/>
          </a:avLst>
        </a:prstGeom>
        <a:solidFill>
          <a:schemeClr val="bg1">
            <a:lumMod val="75000"/>
            <a:alpha val="24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46</xdr:col>
      <xdr:colOff>328055</xdr:colOff>
      <xdr:row>5</xdr:row>
      <xdr:rowOff>80200</xdr:rowOff>
    </xdr:from>
    <xdr:to>
      <xdr:col>49</xdr:col>
      <xdr:colOff>37438</xdr:colOff>
      <xdr:row>13</xdr:row>
      <xdr:rowOff>181625</xdr:rowOff>
    </xdr:to>
    <xdr:sp macro="" textlink="">
      <xdr:nvSpPr>
        <xdr:cNvPr id="33" name="Triangle 32">
          <a:extLst>
            <a:ext uri="{FF2B5EF4-FFF2-40B4-BE49-F238E27FC236}">
              <a16:creationId xmlns:a16="http://schemas.microsoft.com/office/drawing/2014/main" id="{09EEAA11-52D8-3E49-BFA8-646A5C4E6E4B}"/>
            </a:ext>
          </a:extLst>
        </xdr:cNvPr>
        <xdr:cNvSpPr/>
      </xdr:nvSpPr>
      <xdr:spPr>
        <a:xfrm rot="5400000">
          <a:off x="14781484" y="2149471"/>
          <a:ext cx="1828625" cy="712683"/>
        </a:xfrm>
        <a:prstGeom prst="triangle">
          <a:avLst>
            <a:gd name="adj" fmla="val 83330"/>
          </a:avLst>
        </a:prstGeom>
        <a:solidFill>
          <a:schemeClr val="bg1">
            <a:lumMod val="75000"/>
            <a:alpha val="24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50</xdr:col>
      <xdr:colOff>6930</xdr:colOff>
      <xdr:row>6</xdr:row>
      <xdr:rowOff>96045</xdr:rowOff>
    </xdr:from>
    <xdr:to>
      <xdr:col>52</xdr:col>
      <xdr:colOff>34936</xdr:colOff>
      <xdr:row>12</xdr:row>
      <xdr:rowOff>126055</xdr:rowOff>
    </xdr:to>
    <xdr:sp macro="" textlink="">
      <xdr:nvSpPr>
        <xdr:cNvPr id="34" name="Triangle 33">
          <a:extLst>
            <a:ext uri="{FF2B5EF4-FFF2-40B4-BE49-F238E27FC236}">
              <a16:creationId xmlns:a16="http://schemas.microsoft.com/office/drawing/2014/main" id="{31932D82-889C-C742-BD15-984F3C56604C}"/>
            </a:ext>
          </a:extLst>
        </xdr:cNvPr>
        <xdr:cNvSpPr/>
      </xdr:nvSpPr>
      <xdr:spPr>
        <a:xfrm rot="5400000">
          <a:off x="16007928" y="2154447"/>
          <a:ext cx="1325410" cy="663006"/>
        </a:xfrm>
        <a:prstGeom prst="triangle">
          <a:avLst>
            <a:gd name="adj" fmla="val 17580"/>
          </a:avLst>
        </a:prstGeom>
        <a:solidFill>
          <a:schemeClr val="bg1">
            <a:lumMod val="75000"/>
            <a:alpha val="24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50</xdr:col>
      <xdr:colOff>15068</xdr:colOff>
      <xdr:row>6</xdr:row>
      <xdr:rowOff>104566</xdr:rowOff>
    </xdr:from>
    <xdr:to>
      <xdr:col>52</xdr:col>
      <xdr:colOff>22450</xdr:colOff>
      <xdr:row>12</xdr:row>
      <xdr:rowOff>133692</xdr:rowOff>
    </xdr:to>
    <xdr:sp macro="" textlink="">
      <xdr:nvSpPr>
        <xdr:cNvPr id="35" name="Triangle 34">
          <a:extLst>
            <a:ext uri="{FF2B5EF4-FFF2-40B4-BE49-F238E27FC236}">
              <a16:creationId xmlns:a16="http://schemas.microsoft.com/office/drawing/2014/main" id="{E8F3F283-BA42-9F42-9F86-4E23221139AD}"/>
            </a:ext>
          </a:extLst>
        </xdr:cNvPr>
        <xdr:cNvSpPr/>
      </xdr:nvSpPr>
      <xdr:spPr>
        <a:xfrm rot="5400000">
          <a:off x="16006196" y="2172838"/>
          <a:ext cx="1324526" cy="642382"/>
        </a:xfrm>
        <a:prstGeom prst="triangle">
          <a:avLst>
            <a:gd name="adj" fmla="val 35547"/>
          </a:avLst>
        </a:prstGeom>
        <a:solidFill>
          <a:schemeClr val="bg1">
            <a:lumMod val="75000"/>
            <a:alpha val="24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50</xdr:col>
      <xdr:colOff>9112</xdr:colOff>
      <xdr:row>6</xdr:row>
      <xdr:rowOff>98454</xdr:rowOff>
    </xdr:from>
    <xdr:to>
      <xdr:col>52</xdr:col>
      <xdr:colOff>39419</xdr:colOff>
      <xdr:row>12</xdr:row>
      <xdr:rowOff>143097</xdr:rowOff>
    </xdr:to>
    <xdr:sp macro="" textlink="">
      <xdr:nvSpPr>
        <xdr:cNvPr id="36" name="Triangle 35">
          <a:extLst>
            <a:ext uri="{FF2B5EF4-FFF2-40B4-BE49-F238E27FC236}">
              <a16:creationId xmlns:a16="http://schemas.microsoft.com/office/drawing/2014/main" id="{8DD0A657-F0DE-4743-AD41-6F4018077BAA}"/>
            </a:ext>
          </a:extLst>
        </xdr:cNvPr>
        <xdr:cNvSpPr/>
      </xdr:nvSpPr>
      <xdr:spPr>
        <a:xfrm rot="5400000">
          <a:off x="16003944" y="2163022"/>
          <a:ext cx="1340043" cy="665307"/>
        </a:xfrm>
        <a:prstGeom prst="triangle">
          <a:avLst>
            <a:gd name="adj" fmla="val 49503"/>
          </a:avLst>
        </a:prstGeom>
        <a:solidFill>
          <a:schemeClr val="bg1">
            <a:lumMod val="75000"/>
            <a:alpha val="24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50</xdr:col>
      <xdr:colOff>12684</xdr:colOff>
      <xdr:row>6</xdr:row>
      <xdr:rowOff>106562</xdr:rowOff>
    </xdr:from>
    <xdr:to>
      <xdr:col>52</xdr:col>
      <xdr:colOff>39639</xdr:colOff>
      <xdr:row>12</xdr:row>
      <xdr:rowOff>123527</xdr:rowOff>
    </xdr:to>
    <xdr:sp macro="" textlink="">
      <xdr:nvSpPr>
        <xdr:cNvPr id="37" name="Triangle 36">
          <a:extLst>
            <a:ext uri="{FF2B5EF4-FFF2-40B4-BE49-F238E27FC236}">
              <a16:creationId xmlns:a16="http://schemas.microsoft.com/office/drawing/2014/main" id="{981A1E2A-3345-084A-A77D-DA8290E653EC}"/>
            </a:ext>
          </a:extLst>
        </xdr:cNvPr>
        <xdr:cNvSpPr/>
      </xdr:nvSpPr>
      <xdr:spPr>
        <a:xfrm rot="5400000">
          <a:off x="16019679" y="2158967"/>
          <a:ext cx="1312365" cy="661955"/>
        </a:xfrm>
        <a:prstGeom prst="triangle">
          <a:avLst>
            <a:gd name="adj" fmla="val 66566"/>
          </a:avLst>
        </a:prstGeom>
        <a:solidFill>
          <a:schemeClr val="bg1">
            <a:lumMod val="75000"/>
            <a:alpha val="24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50</xdr:col>
      <xdr:colOff>12424</xdr:colOff>
      <xdr:row>6</xdr:row>
      <xdr:rowOff>125794</xdr:rowOff>
    </xdr:from>
    <xdr:to>
      <xdr:col>52</xdr:col>
      <xdr:colOff>39379</xdr:colOff>
      <xdr:row>12</xdr:row>
      <xdr:rowOff>135109</xdr:rowOff>
    </xdr:to>
    <xdr:sp macro="" textlink="">
      <xdr:nvSpPr>
        <xdr:cNvPr id="38" name="Triangle 37">
          <a:extLst>
            <a:ext uri="{FF2B5EF4-FFF2-40B4-BE49-F238E27FC236}">
              <a16:creationId xmlns:a16="http://schemas.microsoft.com/office/drawing/2014/main" id="{B1EEB81F-1B62-9E49-9599-32AF713A90D7}"/>
            </a:ext>
          </a:extLst>
        </xdr:cNvPr>
        <xdr:cNvSpPr/>
      </xdr:nvSpPr>
      <xdr:spPr>
        <a:xfrm rot="5400000">
          <a:off x="16023244" y="2174374"/>
          <a:ext cx="1304715" cy="661955"/>
        </a:xfrm>
        <a:prstGeom prst="triangle">
          <a:avLst>
            <a:gd name="adj" fmla="val 80041"/>
          </a:avLst>
        </a:prstGeom>
        <a:solidFill>
          <a:schemeClr val="bg1">
            <a:lumMod val="75000"/>
            <a:alpha val="24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52</xdr:col>
      <xdr:colOff>311124</xdr:colOff>
      <xdr:row>7</xdr:row>
      <xdr:rowOff>92088</xdr:rowOff>
    </xdr:from>
    <xdr:to>
      <xdr:col>55</xdr:col>
      <xdr:colOff>19379</xdr:colOff>
      <xdr:row>11</xdr:row>
      <xdr:rowOff>122031</xdr:rowOff>
    </xdr:to>
    <xdr:sp macro="" textlink="">
      <xdr:nvSpPr>
        <xdr:cNvPr id="39" name="Triangle 38">
          <a:extLst>
            <a:ext uri="{FF2B5EF4-FFF2-40B4-BE49-F238E27FC236}">
              <a16:creationId xmlns:a16="http://schemas.microsoft.com/office/drawing/2014/main" id="{4D65B565-A944-644D-BFE7-94762164106E}"/>
            </a:ext>
          </a:extLst>
        </xdr:cNvPr>
        <xdr:cNvSpPr/>
      </xdr:nvSpPr>
      <xdr:spPr>
        <a:xfrm rot="5400000">
          <a:off x="17161930" y="2151582"/>
          <a:ext cx="893543" cy="660755"/>
        </a:xfrm>
        <a:prstGeom prst="triangle">
          <a:avLst>
            <a:gd name="adj" fmla="val 24578"/>
          </a:avLst>
        </a:prstGeom>
        <a:solidFill>
          <a:schemeClr val="bg1">
            <a:lumMod val="75000"/>
            <a:alpha val="24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53</xdr:col>
      <xdr:colOff>1762</xdr:colOff>
      <xdr:row>7</xdr:row>
      <xdr:rowOff>100608</xdr:rowOff>
    </xdr:from>
    <xdr:to>
      <xdr:col>55</xdr:col>
      <xdr:colOff>6893</xdr:colOff>
      <xdr:row>11</xdr:row>
      <xdr:rowOff>133353</xdr:rowOff>
    </xdr:to>
    <xdr:sp macro="" textlink="">
      <xdr:nvSpPr>
        <xdr:cNvPr id="40" name="Triangle 39">
          <a:extLst>
            <a:ext uri="{FF2B5EF4-FFF2-40B4-BE49-F238E27FC236}">
              <a16:creationId xmlns:a16="http://schemas.microsoft.com/office/drawing/2014/main" id="{7989D364-3C48-9C47-BC00-7329EFF36971}"/>
            </a:ext>
          </a:extLst>
        </xdr:cNvPr>
        <xdr:cNvSpPr/>
      </xdr:nvSpPr>
      <xdr:spPr>
        <a:xfrm rot="5400000">
          <a:off x="17158355" y="2171815"/>
          <a:ext cx="896345" cy="640131"/>
        </a:xfrm>
        <a:prstGeom prst="triangle">
          <a:avLst>
            <a:gd name="adj" fmla="val 48386"/>
          </a:avLst>
        </a:prstGeom>
        <a:solidFill>
          <a:schemeClr val="bg1">
            <a:lumMod val="75000"/>
            <a:alpha val="24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52</xdr:col>
      <xdr:colOff>313305</xdr:colOff>
      <xdr:row>7</xdr:row>
      <xdr:rowOff>94497</xdr:rowOff>
    </xdr:from>
    <xdr:to>
      <xdr:col>55</xdr:col>
      <xdr:colOff>23861</xdr:colOff>
      <xdr:row>11</xdr:row>
      <xdr:rowOff>136528</xdr:rowOff>
    </xdr:to>
    <xdr:sp macro="" textlink="">
      <xdr:nvSpPr>
        <xdr:cNvPr id="41" name="Triangle 40">
          <a:extLst>
            <a:ext uri="{FF2B5EF4-FFF2-40B4-BE49-F238E27FC236}">
              <a16:creationId xmlns:a16="http://schemas.microsoft.com/office/drawing/2014/main" id="{23193AFB-973B-2C4D-B901-3A6247EA5E3B}"/>
            </a:ext>
          </a:extLst>
        </xdr:cNvPr>
        <xdr:cNvSpPr/>
      </xdr:nvSpPr>
      <xdr:spPr>
        <a:xfrm rot="5400000">
          <a:off x="17159217" y="2158885"/>
          <a:ext cx="905631" cy="663056"/>
        </a:xfrm>
        <a:prstGeom prst="triangle">
          <a:avLst>
            <a:gd name="adj" fmla="val 70622"/>
          </a:avLst>
        </a:prstGeom>
        <a:solidFill>
          <a:schemeClr val="bg1">
            <a:lumMod val="75000"/>
            <a:alpha val="24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53</xdr:col>
      <xdr:colOff>632</xdr:colOff>
      <xdr:row>7</xdr:row>
      <xdr:rowOff>102605</xdr:rowOff>
    </xdr:from>
    <xdr:to>
      <xdr:col>55</xdr:col>
      <xdr:colOff>24081</xdr:colOff>
      <xdr:row>11</xdr:row>
      <xdr:rowOff>117475</xdr:rowOff>
    </xdr:to>
    <xdr:sp macro="" textlink="">
      <xdr:nvSpPr>
        <xdr:cNvPr id="42" name="Triangle 41">
          <a:extLst>
            <a:ext uri="{FF2B5EF4-FFF2-40B4-BE49-F238E27FC236}">
              <a16:creationId xmlns:a16="http://schemas.microsoft.com/office/drawing/2014/main" id="{2639AFDD-B7E1-E14B-855B-87FFEE8A82CA}"/>
            </a:ext>
          </a:extLst>
        </xdr:cNvPr>
        <xdr:cNvSpPr/>
      </xdr:nvSpPr>
      <xdr:spPr>
        <a:xfrm rot="5400000">
          <a:off x="17175322" y="2155715"/>
          <a:ext cx="878470" cy="658449"/>
        </a:xfrm>
        <a:prstGeom prst="triangle">
          <a:avLst>
            <a:gd name="adj" fmla="val 99781"/>
          </a:avLst>
        </a:prstGeom>
        <a:solidFill>
          <a:schemeClr val="bg1">
            <a:lumMod val="75000"/>
            <a:alpha val="24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44</xdr:col>
      <xdr:colOff>160789</xdr:colOff>
      <xdr:row>35</xdr:row>
      <xdr:rowOff>96473</xdr:rowOff>
    </xdr:from>
    <xdr:to>
      <xdr:col>59</xdr:col>
      <xdr:colOff>13982</xdr:colOff>
      <xdr:row>47</xdr:row>
      <xdr:rowOff>183159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B594D8F-44E1-8BC9-4CAD-CE969D8D94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50</xdr:col>
      <xdr:colOff>8592</xdr:colOff>
      <xdr:row>124</xdr:row>
      <xdr:rowOff>209177</xdr:rowOff>
    </xdr:from>
    <xdr:to>
      <xdr:col>65</xdr:col>
      <xdr:colOff>186765</xdr:colOff>
      <xdr:row>141</xdr:row>
      <xdr:rowOff>56030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A6C550A-6D23-254B-927F-EEED59217D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685800</xdr:colOff>
      <xdr:row>2</xdr:row>
      <xdr:rowOff>101600</xdr:rowOff>
    </xdr:from>
    <xdr:to>
      <xdr:col>7</xdr:col>
      <xdr:colOff>774700</xdr:colOff>
      <xdr:row>35</xdr:row>
      <xdr:rowOff>165100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911EF92-E0BE-2D25-FA8B-297AFD726C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5800" y="508000"/>
          <a:ext cx="5867400" cy="6769100"/>
        </a:xfrm>
        <a:prstGeom prst="rect">
          <a:avLst/>
        </a:prstGeom>
      </xdr:spPr>
    </xdr:pic>
    <xdr:clientData/>
  </xdr:twoCellAnchor>
  <xdr:twoCellAnchor editAs="oneCell">
    <xdr:from>
      <xdr:col>8</xdr:col>
      <xdr:colOff>215900</xdr:colOff>
      <xdr:row>1</xdr:row>
      <xdr:rowOff>25400</xdr:rowOff>
    </xdr:from>
    <xdr:to>
      <xdr:col>15</xdr:col>
      <xdr:colOff>685800</xdr:colOff>
      <xdr:row>40</xdr:row>
      <xdr:rowOff>101600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96A9B79-B125-7C24-6A37-DCD7722E84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819900" y="228600"/>
          <a:ext cx="6248400" cy="8001000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15</xdr:row>
      <xdr:rowOff>0</xdr:rowOff>
    </xdr:from>
    <xdr:to>
      <xdr:col>24</xdr:col>
      <xdr:colOff>266700</xdr:colOff>
      <xdr:row>32</xdr:row>
      <xdr:rowOff>88900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FEF245E6-3DED-1380-4AAA-AEE7FA6BCB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4033500" y="3048000"/>
          <a:ext cx="6045200" cy="3543300"/>
        </a:xfrm>
        <a:prstGeom prst="rect">
          <a:avLst/>
        </a:prstGeom>
      </xdr:spPr>
    </xdr:pic>
    <xdr:clientData/>
  </xdr:twoCellAnchor>
  <xdr:twoCellAnchor editAs="oneCell">
    <xdr:from>
      <xdr:col>26</xdr:col>
      <xdr:colOff>657279</xdr:colOff>
      <xdr:row>28</xdr:row>
      <xdr:rowOff>109482</xdr:rowOff>
    </xdr:from>
    <xdr:to>
      <xdr:col>28</xdr:col>
      <xdr:colOff>371930</xdr:colOff>
      <xdr:row>30</xdr:row>
      <xdr:rowOff>76152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A2D64E3-CE4C-6448-9D93-391DE07918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2291072" y="5627413"/>
          <a:ext cx="1378789" cy="360808"/>
        </a:xfrm>
        <a:prstGeom prst="rect">
          <a:avLst/>
        </a:prstGeom>
      </xdr:spPr>
    </xdr:pic>
    <xdr:clientData/>
  </xdr:twoCellAnchor>
  <xdr:twoCellAnchor editAs="oneCell">
    <xdr:from>
      <xdr:col>26</xdr:col>
      <xdr:colOff>635000</xdr:colOff>
      <xdr:row>30</xdr:row>
      <xdr:rowOff>133928</xdr:rowOff>
    </xdr:from>
    <xdr:to>
      <xdr:col>28</xdr:col>
      <xdr:colOff>236811</xdr:colOff>
      <xdr:row>34</xdr:row>
      <xdr:rowOff>4077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45D3ED30-CC67-2A43-9852-D44D2A471A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2268793" y="6045997"/>
          <a:ext cx="1265949" cy="658425"/>
        </a:xfrm>
        <a:prstGeom prst="rect">
          <a:avLst/>
        </a:prstGeom>
      </xdr:spPr>
    </xdr:pic>
    <xdr:clientData/>
  </xdr:twoCellAnchor>
  <xdr:twoCellAnchor editAs="oneCell">
    <xdr:from>
      <xdr:col>26</xdr:col>
      <xdr:colOff>657280</xdr:colOff>
      <xdr:row>34</xdr:row>
      <xdr:rowOff>149264</xdr:rowOff>
    </xdr:from>
    <xdr:to>
      <xdr:col>28</xdr:col>
      <xdr:colOff>666521</xdr:colOff>
      <xdr:row>37</xdr:row>
      <xdr:rowOff>68893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57C817C4-3274-0A46-8FBE-8B49D584F6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2291073" y="6849609"/>
          <a:ext cx="1673379" cy="510836"/>
        </a:xfrm>
        <a:prstGeom prst="rect">
          <a:avLst/>
        </a:prstGeom>
      </xdr:spPr>
    </xdr:pic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11-20T10:34:10.846"/>
    </inkml:context>
    <inkml:brush xml:id="br0">
      <inkml:brushProperty name="width" value="0.2" units="cm"/>
      <inkml:brushProperty name="height" value="0.4" units="cm"/>
      <inkml:brushProperty name="color" value="#00F900"/>
      <inkml:brushProperty name="tip" value="rectangle"/>
      <inkml:brushProperty name="rasterOp" value="maskPen"/>
    </inkml:brush>
  </inkml:definitions>
  <inkml:trace contextRef="#ctx0" brushRef="#br0">1 0,'0'0</inkml:trace>
</inkml: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kaggle.com/datasets/masoudnickparvar/brain-tumor-mri-dataset/data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A105F5-F236-0045-B0E9-4ACC38B297B7}">
  <sheetPr>
    <tabColor theme="1" tint="0.34998626667073579"/>
  </sheetPr>
  <dimension ref="A1:BL51"/>
  <sheetViews>
    <sheetView showGridLines="0" showRowColHeaders="0" topLeftCell="B1" zoomScale="59" zoomScaleNormal="189" workbookViewId="0">
      <selection activeCell="AM61" sqref="AM61"/>
    </sheetView>
  </sheetViews>
  <sheetFormatPr baseColWidth="10" defaultColWidth="3.83203125" defaultRowHeight="18" customHeight="1" x14ac:dyDescent="0.2"/>
  <cols>
    <col min="1" max="64" width="3.33203125" style="32" customWidth="1"/>
    <col min="65" max="16384" width="3.83203125" style="32"/>
  </cols>
  <sheetData>
    <row r="1" spans="1:64" ht="18" customHeight="1" x14ac:dyDescent="0.2">
      <c r="A1" s="31">
        <v>201</v>
      </c>
      <c r="B1" s="31">
        <v>201</v>
      </c>
      <c r="C1" s="31">
        <v>201</v>
      </c>
      <c r="D1" s="31">
        <v>201</v>
      </c>
      <c r="E1" s="31">
        <v>201</v>
      </c>
      <c r="F1" s="31">
        <v>201</v>
      </c>
      <c r="G1" s="31">
        <v>201</v>
      </c>
      <c r="H1" s="31">
        <v>201</v>
      </c>
      <c r="I1" s="31">
        <v>201</v>
      </c>
      <c r="J1" s="31">
        <v>201</v>
      </c>
      <c r="K1" s="31">
        <v>201</v>
      </c>
      <c r="L1" s="31">
        <v>201</v>
      </c>
      <c r="M1" s="31">
        <v>200</v>
      </c>
      <c r="N1" s="31">
        <v>200</v>
      </c>
      <c r="O1" s="31">
        <v>202</v>
      </c>
      <c r="P1" s="31">
        <v>206</v>
      </c>
      <c r="Q1" s="31">
        <v>205</v>
      </c>
      <c r="R1" s="31">
        <v>204</v>
      </c>
      <c r="S1" s="31">
        <v>201</v>
      </c>
      <c r="T1" s="31">
        <v>200</v>
      </c>
      <c r="U1" s="31">
        <v>200</v>
      </c>
      <c r="V1" s="31">
        <v>200</v>
      </c>
      <c r="W1" s="31">
        <v>200</v>
      </c>
      <c r="X1" s="31">
        <v>200</v>
      </c>
      <c r="Y1" s="31">
        <v>200</v>
      </c>
      <c r="Z1" s="31">
        <v>200</v>
      </c>
      <c r="AA1" s="31">
        <v>200</v>
      </c>
      <c r="AB1" s="31">
        <v>200</v>
      </c>
      <c r="AC1" s="31">
        <v>200</v>
      </c>
      <c r="AD1" s="31">
        <v>200</v>
      </c>
      <c r="AE1" s="31">
        <v>200</v>
      </c>
      <c r="AF1" s="31">
        <v>200</v>
      </c>
      <c r="AG1" s="31">
        <v>157</v>
      </c>
      <c r="AH1" s="31">
        <v>176</v>
      </c>
      <c r="AI1" s="31">
        <v>153</v>
      </c>
      <c r="AJ1" s="31">
        <v>148</v>
      </c>
      <c r="AK1" s="31">
        <v>178</v>
      </c>
      <c r="AL1" s="31">
        <v>193</v>
      </c>
      <c r="AM1" s="31">
        <v>207</v>
      </c>
      <c r="AN1" s="31">
        <v>181</v>
      </c>
      <c r="AO1" s="31">
        <v>183</v>
      </c>
      <c r="AP1" s="31">
        <v>180</v>
      </c>
      <c r="AQ1" s="31">
        <v>182</v>
      </c>
      <c r="AR1" s="31">
        <v>155</v>
      </c>
      <c r="AS1" s="31">
        <v>132</v>
      </c>
      <c r="AT1" s="31">
        <v>173</v>
      </c>
      <c r="AU1" s="31">
        <v>193</v>
      </c>
      <c r="AV1" s="31">
        <v>182</v>
      </c>
      <c r="AW1" s="31">
        <v>161</v>
      </c>
      <c r="AX1" s="31">
        <v>164</v>
      </c>
      <c r="AY1" s="31">
        <v>188</v>
      </c>
      <c r="AZ1" s="31">
        <v>192</v>
      </c>
      <c r="BA1" s="31">
        <v>175</v>
      </c>
      <c r="BB1" s="31">
        <v>178</v>
      </c>
      <c r="BC1" s="31">
        <v>159</v>
      </c>
      <c r="BD1" s="31">
        <v>149</v>
      </c>
      <c r="BE1" s="31">
        <v>118</v>
      </c>
      <c r="BF1" s="31">
        <v>124</v>
      </c>
      <c r="BG1" s="31">
        <v>158</v>
      </c>
      <c r="BH1" s="31">
        <v>164</v>
      </c>
      <c r="BI1" s="31">
        <v>168</v>
      </c>
      <c r="BJ1" s="31">
        <v>203</v>
      </c>
      <c r="BK1" s="31">
        <v>197</v>
      </c>
      <c r="BL1" s="31">
        <v>170</v>
      </c>
    </row>
    <row r="2" spans="1:64" ht="18" customHeight="1" x14ac:dyDescent="0.2">
      <c r="A2" s="31">
        <v>201</v>
      </c>
      <c r="B2" s="31">
        <v>201</v>
      </c>
      <c r="C2" s="31">
        <v>201</v>
      </c>
      <c r="D2" s="31">
        <v>201</v>
      </c>
      <c r="E2" s="31">
        <v>201</v>
      </c>
      <c r="F2" s="31">
        <v>201</v>
      </c>
      <c r="G2" s="31">
        <v>201</v>
      </c>
      <c r="H2" s="31">
        <v>201</v>
      </c>
      <c r="I2" s="31">
        <v>201</v>
      </c>
      <c r="J2" s="31">
        <v>201</v>
      </c>
      <c r="K2" s="31">
        <v>201</v>
      </c>
      <c r="L2" s="31">
        <v>200</v>
      </c>
      <c r="M2" s="31">
        <v>199</v>
      </c>
      <c r="N2" s="31">
        <v>203</v>
      </c>
      <c r="O2" s="31">
        <v>190</v>
      </c>
      <c r="P2" s="31">
        <v>142</v>
      </c>
      <c r="Q2" s="31">
        <v>139</v>
      </c>
      <c r="R2" s="31">
        <v>169</v>
      </c>
      <c r="S2" s="31">
        <v>193</v>
      </c>
      <c r="T2" s="31">
        <v>203</v>
      </c>
      <c r="U2" s="31">
        <v>200</v>
      </c>
      <c r="V2" s="31">
        <v>200</v>
      </c>
      <c r="W2" s="31">
        <v>200</v>
      </c>
      <c r="X2" s="31">
        <v>200</v>
      </c>
      <c r="Y2" s="31">
        <v>200</v>
      </c>
      <c r="Z2" s="31">
        <v>200</v>
      </c>
      <c r="AA2" s="31">
        <v>200</v>
      </c>
      <c r="AB2" s="31">
        <v>200</v>
      </c>
      <c r="AC2" s="31">
        <v>200</v>
      </c>
      <c r="AD2" s="31">
        <v>200</v>
      </c>
      <c r="AE2" s="31">
        <v>200</v>
      </c>
      <c r="AF2" s="31">
        <v>200</v>
      </c>
      <c r="AG2" s="31">
        <v>158</v>
      </c>
      <c r="AH2" s="31">
        <v>144</v>
      </c>
      <c r="AI2" s="31">
        <v>130</v>
      </c>
      <c r="AJ2" s="31">
        <v>157</v>
      </c>
      <c r="AK2" s="31">
        <v>181</v>
      </c>
      <c r="AL2" s="31">
        <v>195</v>
      </c>
      <c r="AM2" s="31">
        <v>198</v>
      </c>
      <c r="AN2" s="31">
        <v>190</v>
      </c>
      <c r="AO2" s="31">
        <v>190</v>
      </c>
      <c r="AP2" s="31">
        <v>187</v>
      </c>
      <c r="AQ2" s="31">
        <v>188</v>
      </c>
      <c r="AR2" s="31">
        <v>184</v>
      </c>
      <c r="AS2" s="31">
        <v>163</v>
      </c>
      <c r="AT2" s="31">
        <v>174</v>
      </c>
      <c r="AU2" s="31">
        <v>200</v>
      </c>
      <c r="AV2" s="31">
        <v>192</v>
      </c>
      <c r="AW2" s="31">
        <v>171</v>
      </c>
      <c r="AX2" s="31">
        <v>168</v>
      </c>
      <c r="AY2" s="31">
        <v>187</v>
      </c>
      <c r="AZ2" s="31">
        <v>183</v>
      </c>
      <c r="BA2" s="31">
        <v>187</v>
      </c>
      <c r="BB2" s="31">
        <v>187</v>
      </c>
      <c r="BC2" s="31">
        <v>181</v>
      </c>
      <c r="BD2" s="31">
        <v>166</v>
      </c>
      <c r="BE2" s="31">
        <v>111</v>
      </c>
      <c r="BF2" s="31">
        <v>130</v>
      </c>
      <c r="BG2" s="31">
        <v>160</v>
      </c>
      <c r="BH2" s="31">
        <v>171</v>
      </c>
      <c r="BI2" s="31">
        <v>169</v>
      </c>
      <c r="BJ2" s="31">
        <v>188</v>
      </c>
      <c r="BK2" s="31">
        <v>193</v>
      </c>
      <c r="BL2" s="31">
        <v>191</v>
      </c>
    </row>
    <row r="3" spans="1:64" ht="18" customHeight="1" x14ac:dyDescent="0.2">
      <c r="A3" s="31">
        <v>201</v>
      </c>
      <c r="B3" s="31">
        <v>201</v>
      </c>
      <c r="C3" s="31">
        <v>201</v>
      </c>
      <c r="D3" s="31">
        <v>201</v>
      </c>
      <c r="E3" s="31">
        <v>201</v>
      </c>
      <c r="F3" s="31">
        <v>201</v>
      </c>
      <c r="G3" s="31">
        <v>201</v>
      </c>
      <c r="H3" s="31">
        <v>201</v>
      </c>
      <c r="I3" s="31">
        <v>201</v>
      </c>
      <c r="J3" s="31">
        <v>201</v>
      </c>
      <c r="K3" s="31">
        <v>201</v>
      </c>
      <c r="L3" s="31">
        <v>200</v>
      </c>
      <c r="M3" s="31">
        <v>194</v>
      </c>
      <c r="N3" s="31">
        <v>148</v>
      </c>
      <c r="O3" s="31">
        <v>64</v>
      </c>
      <c r="P3" s="31">
        <v>21</v>
      </c>
      <c r="Q3" s="31">
        <v>25</v>
      </c>
      <c r="R3" s="31">
        <v>49</v>
      </c>
      <c r="S3" s="31">
        <v>88</v>
      </c>
      <c r="T3" s="31">
        <v>184</v>
      </c>
      <c r="U3" s="31">
        <v>206</v>
      </c>
      <c r="V3" s="31">
        <v>200</v>
      </c>
      <c r="W3" s="31">
        <v>200</v>
      </c>
      <c r="X3" s="31">
        <v>200</v>
      </c>
      <c r="Y3" s="31">
        <v>200</v>
      </c>
      <c r="Z3" s="31">
        <v>200</v>
      </c>
      <c r="AA3" s="31">
        <v>200</v>
      </c>
      <c r="AB3" s="31">
        <v>200</v>
      </c>
      <c r="AC3" s="31">
        <v>200</v>
      </c>
      <c r="AD3" s="31">
        <v>200</v>
      </c>
      <c r="AE3" s="31">
        <v>200</v>
      </c>
      <c r="AF3" s="31">
        <v>200</v>
      </c>
      <c r="AG3" s="31">
        <v>144</v>
      </c>
      <c r="AH3" s="31">
        <v>124</v>
      </c>
      <c r="AI3" s="31">
        <v>164</v>
      </c>
      <c r="AJ3" s="31">
        <v>143</v>
      </c>
      <c r="AK3" s="31">
        <v>173</v>
      </c>
      <c r="AL3" s="31">
        <v>205</v>
      </c>
      <c r="AM3" s="31">
        <v>189</v>
      </c>
      <c r="AN3" s="31">
        <v>187</v>
      </c>
      <c r="AO3" s="31">
        <v>187</v>
      </c>
      <c r="AP3" s="31">
        <v>193</v>
      </c>
      <c r="AQ3" s="31">
        <v>196</v>
      </c>
      <c r="AR3" s="31">
        <v>196</v>
      </c>
      <c r="AS3" s="31">
        <v>189</v>
      </c>
      <c r="AT3" s="31">
        <v>193</v>
      </c>
      <c r="AU3" s="31">
        <v>196</v>
      </c>
      <c r="AV3" s="31">
        <v>198</v>
      </c>
      <c r="AW3" s="31">
        <v>185</v>
      </c>
      <c r="AX3" s="31">
        <v>178</v>
      </c>
      <c r="AY3" s="31">
        <v>187</v>
      </c>
      <c r="AZ3" s="31">
        <v>183</v>
      </c>
      <c r="BA3" s="31">
        <v>190</v>
      </c>
      <c r="BB3" s="31">
        <v>190</v>
      </c>
      <c r="BC3" s="31">
        <v>184</v>
      </c>
      <c r="BD3" s="31">
        <v>167</v>
      </c>
      <c r="BE3" s="31">
        <v>123</v>
      </c>
      <c r="BF3" s="31">
        <v>150</v>
      </c>
      <c r="BG3" s="31">
        <v>174</v>
      </c>
      <c r="BH3" s="31">
        <v>191</v>
      </c>
      <c r="BI3" s="31">
        <v>163</v>
      </c>
      <c r="BJ3" s="31">
        <v>169</v>
      </c>
      <c r="BK3" s="31">
        <v>184</v>
      </c>
      <c r="BL3" s="31">
        <v>196</v>
      </c>
    </row>
    <row r="4" spans="1:64" ht="18" customHeight="1" x14ac:dyDescent="0.2">
      <c r="A4" s="31">
        <v>201</v>
      </c>
      <c r="B4" s="31">
        <v>201</v>
      </c>
      <c r="C4" s="31">
        <v>201</v>
      </c>
      <c r="D4" s="31">
        <v>201</v>
      </c>
      <c r="E4" s="31">
        <v>201</v>
      </c>
      <c r="F4" s="31">
        <v>201</v>
      </c>
      <c r="G4" s="31">
        <v>201</v>
      </c>
      <c r="H4" s="31">
        <v>201</v>
      </c>
      <c r="I4" s="31">
        <v>201</v>
      </c>
      <c r="J4" s="31">
        <v>200</v>
      </c>
      <c r="K4" s="31">
        <v>163</v>
      </c>
      <c r="L4" s="31">
        <v>115</v>
      </c>
      <c r="M4" s="31">
        <v>101</v>
      </c>
      <c r="N4" s="31">
        <v>52</v>
      </c>
      <c r="O4" s="31">
        <v>26</v>
      </c>
      <c r="P4" s="31">
        <v>12</v>
      </c>
      <c r="Q4" s="31">
        <v>10</v>
      </c>
      <c r="R4" s="31">
        <v>14</v>
      </c>
      <c r="S4" s="31">
        <v>48</v>
      </c>
      <c r="T4" s="31">
        <v>76</v>
      </c>
      <c r="U4" s="31">
        <v>170</v>
      </c>
      <c r="V4" s="31">
        <v>206</v>
      </c>
      <c r="W4" s="31">
        <v>200</v>
      </c>
      <c r="X4" s="31">
        <v>200</v>
      </c>
      <c r="Y4" s="31">
        <v>200</v>
      </c>
      <c r="Z4" s="31">
        <v>201</v>
      </c>
      <c r="AA4" s="31">
        <v>201</v>
      </c>
      <c r="AB4" s="31">
        <v>200</v>
      </c>
      <c r="AC4" s="31">
        <v>200</v>
      </c>
      <c r="AD4" s="31">
        <v>200</v>
      </c>
      <c r="AE4" s="31">
        <v>200</v>
      </c>
      <c r="AF4" s="31">
        <v>200</v>
      </c>
      <c r="AG4" s="31">
        <v>113</v>
      </c>
      <c r="AH4" s="31">
        <v>172</v>
      </c>
      <c r="AI4" s="31">
        <v>175</v>
      </c>
      <c r="AJ4" s="31">
        <v>139</v>
      </c>
      <c r="AK4" s="31">
        <v>162</v>
      </c>
      <c r="AL4" s="31">
        <v>177</v>
      </c>
      <c r="AM4" s="31">
        <v>179</v>
      </c>
      <c r="AN4" s="31">
        <v>184</v>
      </c>
      <c r="AO4" s="31">
        <v>183</v>
      </c>
      <c r="AP4" s="31">
        <v>184</v>
      </c>
      <c r="AQ4" s="31">
        <v>188</v>
      </c>
      <c r="AR4" s="31">
        <v>193</v>
      </c>
      <c r="AS4" s="31">
        <v>196</v>
      </c>
      <c r="AT4" s="31">
        <v>202</v>
      </c>
      <c r="AU4" s="31">
        <v>201</v>
      </c>
      <c r="AV4" s="31">
        <v>195</v>
      </c>
      <c r="AW4" s="31">
        <v>172</v>
      </c>
      <c r="AX4" s="31">
        <v>148</v>
      </c>
      <c r="AY4" s="31">
        <v>175</v>
      </c>
      <c r="AZ4" s="31">
        <v>190</v>
      </c>
      <c r="BA4" s="31">
        <v>194</v>
      </c>
      <c r="BB4" s="31">
        <v>190</v>
      </c>
      <c r="BC4" s="31">
        <v>188</v>
      </c>
      <c r="BD4" s="31">
        <v>180</v>
      </c>
      <c r="BE4" s="31">
        <v>146</v>
      </c>
      <c r="BF4" s="31">
        <v>178</v>
      </c>
      <c r="BG4" s="31">
        <v>178</v>
      </c>
      <c r="BH4" s="31">
        <v>198</v>
      </c>
      <c r="BI4" s="31">
        <v>179</v>
      </c>
      <c r="BJ4" s="31">
        <v>178</v>
      </c>
      <c r="BK4" s="31">
        <v>184</v>
      </c>
      <c r="BL4" s="31">
        <v>181</v>
      </c>
    </row>
    <row r="5" spans="1:64" ht="18" customHeight="1" x14ac:dyDescent="0.2">
      <c r="A5" s="31">
        <v>201</v>
      </c>
      <c r="B5" s="31">
        <v>201</v>
      </c>
      <c r="C5" s="31">
        <v>201</v>
      </c>
      <c r="D5" s="31">
        <v>201</v>
      </c>
      <c r="E5" s="31">
        <v>201</v>
      </c>
      <c r="F5" s="31">
        <v>201</v>
      </c>
      <c r="G5" s="31">
        <v>201</v>
      </c>
      <c r="H5" s="31">
        <v>201</v>
      </c>
      <c r="I5" s="31">
        <v>203</v>
      </c>
      <c r="J5" s="31">
        <v>164</v>
      </c>
      <c r="K5" s="31">
        <v>76</v>
      </c>
      <c r="L5" s="31">
        <v>31</v>
      </c>
      <c r="M5" s="31">
        <v>17</v>
      </c>
      <c r="N5" s="31">
        <v>37</v>
      </c>
      <c r="O5" s="31">
        <v>44</v>
      </c>
      <c r="P5" s="31">
        <v>31</v>
      </c>
      <c r="Q5" s="31">
        <v>30</v>
      </c>
      <c r="R5" s="31">
        <v>8</v>
      </c>
      <c r="S5" s="31">
        <v>34</v>
      </c>
      <c r="T5" s="31">
        <v>24</v>
      </c>
      <c r="U5" s="31">
        <v>35</v>
      </c>
      <c r="V5" s="31">
        <v>147</v>
      </c>
      <c r="W5" s="31">
        <v>205</v>
      </c>
      <c r="X5" s="31">
        <v>200</v>
      </c>
      <c r="Y5" s="31">
        <v>201</v>
      </c>
      <c r="Z5" s="31">
        <v>201</v>
      </c>
      <c r="AA5" s="31">
        <v>201</v>
      </c>
      <c r="AB5" s="31">
        <v>201</v>
      </c>
      <c r="AC5" s="31">
        <v>200</v>
      </c>
      <c r="AD5" s="31">
        <v>200</v>
      </c>
      <c r="AE5" s="31">
        <v>200</v>
      </c>
      <c r="AF5" s="31">
        <v>200</v>
      </c>
      <c r="AG5" s="31">
        <v>159</v>
      </c>
      <c r="AH5" s="31">
        <v>182</v>
      </c>
      <c r="AI5" s="31">
        <v>185</v>
      </c>
      <c r="AJ5" s="31">
        <v>140</v>
      </c>
      <c r="AK5" s="31">
        <v>147</v>
      </c>
      <c r="AL5" s="31">
        <v>164</v>
      </c>
      <c r="AM5" s="31">
        <v>181</v>
      </c>
      <c r="AN5" s="31">
        <v>190</v>
      </c>
      <c r="AO5" s="31">
        <v>181</v>
      </c>
      <c r="AP5" s="31">
        <v>183</v>
      </c>
      <c r="AQ5" s="31">
        <v>185</v>
      </c>
      <c r="AR5" s="31">
        <v>194</v>
      </c>
      <c r="AS5" s="31">
        <v>206</v>
      </c>
      <c r="AT5" s="31">
        <v>211</v>
      </c>
      <c r="AU5" s="31">
        <v>205</v>
      </c>
      <c r="AV5" s="31">
        <v>189</v>
      </c>
      <c r="AW5" s="31">
        <v>169</v>
      </c>
      <c r="AX5" s="31">
        <v>113</v>
      </c>
      <c r="AY5" s="31">
        <v>175</v>
      </c>
      <c r="AZ5" s="31">
        <v>193</v>
      </c>
      <c r="BA5" s="31">
        <v>193</v>
      </c>
      <c r="BB5" s="31">
        <v>197</v>
      </c>
      <c r="BC5" s="31">
        <v>194</v>
      </c>
      <c r="BD5" s="31">
        <v>187</v>
      </c>
      <c r="BE5" s="31">
        <v>183</v>
      </c>
      <c r="BF5" s="31">
        <v>191</v>
      </c>
      <c r="BG5" s="31">
        <v>198</v>
      </c>
      <c r="BH5" s="31">
        <v>207</v>
      </c>
      <c r="BI5" s="31">
        <v>190</v>
      </c>
      <c r="BJ5" s="31">
        <v>196</v>
      </c>
      <c r="BK5" s="31">
        <v>204</v>
      </c>
      <c r="BL5" s="31">
        <v>200</v>
      </c>
    </row>
    <row r="6" spans="1:64" ht="18" customHeight="1" x14ac:dyDescent="0.2">
      <c r="A6" s="31">
        <v>201</v>
      </c>
      <c r="B6" s="31">
        <v>201</v>
      </c>
      <c r="C6" s="31">
        <v>201</v>
      </c>
      <c r="D6" s="31">
        <v>202</v>
      </c>
      <c r="E6" s="31">
        <v>201</v>
      </c>
      <c r="F6" s="31">
        <v>201</v>
      </c>
      <c r="G6" s="31">
        <v>201</v>
      </c>
      <c r="H6" s="31">
        <v>202</v>
      </c>
      <c r="I6" s="31">
        <v>199</v>
      </c>
      <c r="J6" s="31">
        <v>96</v>
      </c>
      <c r="K6" s="31">
        <v>47</v>
      </c>
      <c r="L6" s="31">
        <v>35</v>
      </c>
      <c r="M6" s="31">
        <v>76</v>
      </c>
      <c r="N6" s="31">
        <v>143</v>
      </c>
      <c r="O6" s="31">
        <v>131</v>
      </c>
      <c r="P6" s="31">
        <v>110</v>
      </c>
      <c r="Q6" s="31">
        <v>127</v>
      </c>
      <c r="R6" s="31">
        <v>96</v>
      </c>
      <c r="S6" s="31">
        <v>55</v>
      </c>
      <c r="T6" s="31">
        <v>27</v>
      </c>
      <c r="U6" s="31">
        <v>18</v>
      </c>
      <c r="V6" s="31">
        <v>58</v>
      </c>
      <c r="W6" s="31">
        <v>195</v>
      </c>
      <c r="X6" s="31">
        <v>202</v>
      </c>
      <c r="Y6" s="31">
        <v>201</v>
      </c>
      <c r="Z6" s="31">
        <v>201</v>
      </c>
      <c r="AA6" s="31">
        <v>201</v>
      </c>
      <c r="AB6" s="31">
        <v>201</v>
      </c>
      <c r="AC6" s="31">
        <v>201</v>
      </c>
      <c r="AD6" s="31">
        <v>200</v>
      </c>
      <c r="AE6" s="31">
        <v>200</v>
      </c>
      <c r="AF6" s="31">
        <v>200</v>
      </c>
      <c r="AG6" s="31">
        <v>156</v>
      </c>
      <c r="AH6" s="31">
        <v>189</v>
      </c>
      <c r="AI6" s="31">
        <v>187</v>
      </c>
      <c r="AJ6" s="31">
        <v>135</v>
      </c>
      <c r="AK6" s="31">
        <v>169</v>
      </c>
      <c r="AL6" s="31">
        <v>170</v>
      </c>
      <c r="AM6" s="31">
        <v>180</v>
      </c>
      <c r="AN6" s="31">
        <v>155</v>
      </c>
      <c r="AO6" s="31">
        <v>159</v>
      </c>
      <c r="AP6" s="31">
        <v>180</v>
      </c>
      <c r="AQ6" s="31">
        <v>185</v>
      </c>
      <c r="AR6" s="31">
        <v>206</v>
      </c>
      <c r="AS6" s="31">
        <v>210</v>
      </c>
      <c r="AT6" s="31">
        <v>207</v>
      </c>
      <c r="AU6" s="31">
        <v>203</v>
      </c>
      <c r="AV6" s="31">
        <v>185</v>
      </c>
      <c r="AW6" s="31">
        <v>166</v>
      </c>
      <c r="AX6" s="31">
        <v>153</v>
      </c>
      <c r="AY6" s="31">
        <v>155</v>
      </c>
      <c r="AZ6" s="31">
        <v>121</v>
      </c>
      <c r="BA6" s="31">
        <v>90</v>
      </c>
      <c r="BB6" s="31">
        <v>109</v>
      </c>
      <c r="BC6" s="31">
        <v>157</v>
      </c>
      <c r="BD6" s="31">
        <v>187</v>
      </c>
      <c r="BE6" s="31">
        <v>190</v>
      </c>
      <c r="BF6" s="31">
        <v>179</v>
      </c>
      <c r="BG6" s="31">
        <v>193</v>
      </c>
      <c r="BH6" s="31">
        <v>202</v>
      </c>
      <c r="BI6" s="31">
        <v>201</v>
      </c>
      <c r="BJ6" s="31">
        <v>203</v>
      </c>
      <c r="BK6" s="31">
        <v>191</v>
      </c>
      <c r="BL6" s="31">
        <v>199</v>
      </c>
    </row>
    <row r="7" spans="1:64" ht="18" customHeight="1" x14ac:dyDescent="0.2">
      <c r="A7" s="31">
        <v>202</v>
      </c>
      <c r="B7" s="31">
        <v>202</v>
      </c>
      <c r="C7" s="31">
        <v>202</v>
      </c>
      <c r="D7" s="31">
        <v>202</v>
      </c>
      <c r="E7" s="31">
        <v>201</v>
      </c>
      <c r="F7" s="31">
        <v>202</v>
      </c>
      <c r="G7" s="31">
        <v>202</v>
      </c>
      <c r="H7" s="31">
        <v>205</v>
      </c>
      <c r="I7" s="31">
        <v>170</v>
      </c>
      <c r="J7" s="31">
        <v>55</v>
      </c>
      <c r="K7" s="31">
        <v>40</v>
      </c>
      <c r="L7" s="31">
        <v>83</v>
      </c>
      <c r="M7" s="31">
        <v>171</v>
      </c>
      <c r="N7" s="31">
        <v>189</v>
      </c>
      <c r="O7" s="31">
        <v>188</v>
      </c>
      <c r="P7" s="31">
        <v>176</v>
      </c>
      <c r="Q7" s="31">
        <v>168</v>
      </c>
      <c r="R7" s="31">
        <v>160</v>
      </c>
      <c r="S7" s="31">
        <v>122</v>
      </c>
      <c r="T7" s="31">
        <v>35</v>
      </c>
      <c r="U7" s="31">
        <v>19</v>
      </c>
      <c r="V7" s="31">
        <v>27</v>
      </c>
      <c r="W7" s="31">
        <v>155</v>
      </c>
      <c r="X7" s="31">
        <v>205</v>
      </c>
      <c r="Y7" s="31">
        <v>201</v>
      </c>
      <c r="Z7" s="31">
        <v>201</v>
      </c>
      <c r="AA7" s="31">
        <v>201</v>
      </c>
      <c r="AB7" s="31">
        <v>201</v>
      </c>
      <c r="AC7" s="31">
        <v>201</v>
      </c>
      <c r="AD7" s="31">
        <v>200</v>
      </c>
      <c r="AE7" s="31">
        <v>200</v>
      </c>
      <c r="AF7" s="31">
        <v>200</v>
      </c>
      <c r="AG7" s="31">
        <v>150</v>
      </c>
      <c r="AH7" s="31">
        <v>184</v>
      </c>
      <c r="AI7" s="31">
        <v>191</v>
      </c>
      <c r="AJ7" s="31">
        <v>180</v>
      </c>
      <c r="AK7" s="31">
        <v>188</v>
      </c>
      <c r="AL7" s="31">
        <v>188</v>
      </c>
      <c r="AM7" s="31">
        <v>172</v>
      </c>
      <c r="AN7" s="31">
        <v>172</v>
      </c>
      <c r="AO7" s="31">
        <v>189</v>
      </c>
      <c r="AP7" s="31">
        <v>187</v>
      </c>
      <c r="AQ7" s="31">
        <v>199</v>
      </c>
      <c r="AR7" s="31">
        <v>213</v>
      </c>
      <c r="AS7" s="31">
        <v>208</v>
      </c>
      <c r="AT7" s="31">
        <v>204</v>
      </c>
      <c r="AU7" s="31">
        <v>198</v>
      </c>
      <c r="AV7" s="31">
        <v>120</v>
      </c>
      <c r="AW7" s="31">
        <v>74</v>
      </c>
      <c r="AX7" s="31">
        <v>63</v>
      </c>
      <c r="AY7" s="31">
        <v>55</v>
      </c>
      <c r="AZ7" s="31">
        <v>31</v>
      </c>
      <c r="BA7" s="31">
        <v>12</v>
      </c>
      <c r="BB7" s="31">
        <v>31</v>
      </c>
      <c r="BC7" s="31">
        <v>77</v>
      </c>
      <c r="BD7" s="31">
        <v>107</v>
      </c>
      <c r="BE7" s="31">
        <v>170</v>
      </c>
      <c r="BF7" s="31">
        <v>168</v>
      </c>
      <c r="BG7" s="31">
        <v>181</v>
      </c>
      <c r="BH7" s="31">
        <v>198</v>
      </c>
      <c r="BI7" s="31">
        <v>191</v>
      </c>
      <c r="BJ7" s="31">
        <v>207</v>
      </c>
      <c r="BK7" s="31">
        <v>188</v>
      </c>
      <c r="BL7" s="31">
        <v>182</v>
      </c>
    </row>
    <row r="8" spans="1:64" ht="18" customHeight="1" x14ac:dyDescent="0.2">
      <c r="A8" s="31">
        <v>202</v>
      </c>
      <c r="B8" s="31">
        <v>202</v>
      </c>
      <c r="C8" s="31">
        <v>202</v>
      </c>
      <c r="D8" s="31">
        <v>202</v>
      </c>
      <c r="E8" s="31">
        <v>202</v>
      </c>
      <c r="F8" s="31">
        <v>202</v>
      </c>
      <c r="G8" s="31">
        <v>201</v>
      </c>
      <c r="H8" s="31">
        <v>206</v>
      </c>
      <c r="I8" s="31">
        <v>151</v>
      </c>
      <c r="J8" s="31">
        <v>38</v>
      </c>
      <c r="K8" s="31">
        <v>61</v>
      </c>
      <c r="L8" s="31">
        <v>161</v>
      </c>
      <c r="M8" s="31">
        <v>195</v>
      </c>
      <c r="N8" s="31">
        <v>195</v>
      </c>
      <c r="O8" s="31">
        <v>193</v>
      </c>
      <c r="P8" s="31">
        <v>183</v>
      </c>
      <c r="Q8" s="31">
        <v>173</v>
      </c>
      <c r="R8" s="31">
        <v>162</v>
      </c>
      <c r="S8" s="31">
        <v>151</v>
      </c>
      <c r="T8" s="31">
        <v>89</v>
      </c>
      <c r="U8" s="31">
        <v>21</v>
      </c>
      <c r="V8" s="31">
        <v>16</v>
      </c>
      <c r="W8" s="31">
        <v>109</v>
      </c>
      <c r="X8" s="31">
        <v>207</v>
      </c>
      <c r="Y8" s="31">
        <v>201</v>
      </c>
      <c r="Z8" s="31">
        <v>201</v>
      </c>
      <c r="AA8" s="31">
        <v>201</v>
      </c>
      <c r="AB8" s="31">
        <v>201</v>
      </c>
      <c r="AC8" s="31">
        <v>201</v>
      </c>
      <c r="AD8" s="31">
        <v>200</v>
      </c>
      <c r="AE8" s="31">
        <v>201</v>
      </c>
      <c r="AF8" s="31">
        <v>200</v>
      </c>
      <c r="AG8" s="31">
        <v>151</v>
      </c>
      <c r="AH8" s="31">
        <v>164</v>
      </c>
      <c r="AI8" s="31">
        <v>172</v>
      </c>
      <c r="AJ8" s="31">
        <v>185</v>
      </c>
      <c r="AK8" s="31">
        <v>184</v>
      </c>
      <c r="AL8" s="31">
        <v>186</v>
      </c>
      <c r="AM8" s="31">
        <v>186</v>
      </c>
      <c r="AN8" s="31">
        <v>177</v>
      </c>
      <c r="AO8" s="31">
        <v>196</v>
      </c>
      <c r="AP8" s="31">
        <v>197</v>
      </c>
      <c r="AQ8" s="31">
        <v>217</v>
      </c>
      <c r="AR8" s="31">
        <v>205</v>
      </c>
      <c r="AS8" s="31">
        <v>208</v>
      </c>
      <c r="AT8" s="31">
        <v>183</v>
      </c>
      <c r="AU8" s="31">
        <v>98</v>
      </c>
      <c r="AV8" s="31">
        <v>47</v>
      </c>
      <c r="AW8" s="31">
        <v>34</v>
      </c>
      <c r="AX8" s="31">
        <v>15</v>
      </c>
      <c r="AY8" s="31">
        <v>16</v>
      </c>
      <c r="AZ8" s="31">
        <v>24</v>
      </c>
      <c r="BA8" s="31">
        <v>11</v>
      </c>
      <c r="BB8" s="31">
        <v>17</v>
      </c>
      <c r="BC8" s="31">
        <v>51</v>
      </c>
      <c r="BD8" s="31">
        <v>68</v>
      </c>
      <c r="BE8" s="31">
        <v>148</v>
      </c>
      <c r="BF8" s="31">
        <v>188</v>
      </c>
      <c r="BG8" s="31">
        <v>187</v>
      </c>
      <c r="BH8" s="31">
        <v>199</v>
      </c>
      <c r="BI8" s="31">
        <v>194</v>
      </c>
      <c r="BJ8" s="31">
        <v>197</v>
      </c>
      <c r="BK8" s="31">
        <v>187</v>
      </c>
      <c r="BL8" s="31">
        <v>189</v>
      </c>
    </row>
    <row r="9" spans="1:64" ht="18" customHeight="1" x14ac:dyDescent="0.2">
      <c r="A9" s="31">
        <v>201</v>
      </c>
      <c r="B9" s="31">
        <v>202</v>
      </c>
      <c r="C9" s="31">
        <v>202</v>
      </c>
      <c r="D9" s="31">
        <v>202</v>
      </c>
      <c r="E9" s="31">
        <v>202</v>
      </c>
      <c r="F9" s="31">
        <v>202</v>
      </c>
      <c r="G9" s="31">
        <v>201</v>
      </c>
      <c r="H9" s="31">
        <v>205</v>
      </c>
      <c r="I9" s="31">
        <v>164</v>
      </c>
      <c r="J9" s="31">
        <v>43</v>
      </c>
      <c r="K9" s="31">
        <v>134</v>
      </c>
      <c r="L9" s="31">
        <v>201</v>
      </c>
      <c r="M9" s="31">
        <v>200</v>
      </c>
      <c r="N9" s="31">
        <v>203</v>
      </c>
      <c r="O9" s="31">
        <v>198</v>
      </c>
      <c r="P9" s="31">
        <v>190</v>
      </c>
      <c r="Q9" s="31">
        <v>179</v>
      </c>
      <c r="R9" s="31">
        <v>165</v>
      </c>
      <c r="S9" s="31">
        <v>151</v>
      </c>
      <c r="T9" s="31">
        <v>136</v>
      </c>
      <c r="U9" s="31">
        <v>75</v>
      </c>
      <c r="V9" s="31">
        <v>18</v>
      </c>
      <c r="W9" s="31">
        <v>97</v>
      </c>
      <c r="X9" s="31">
        <v>207</v>
      </c>
      <c r="Y9" s="31">
        <v>201</v>
      </c>
      <c r="Z9" s="31">
        <v>201</v>
      </c>
      <c r="AA9" s="31">
        <v>201</v>
      </c>
      <c r="AB9" s="31">
        <v>201</v>
      </c>
      <c r="AC9" s="31">
        <v>201</v>
      </c>
      <c r="AD9" s="31">
        <v>201</v>
      </c>
      <c r="AE9" s="31">
        <v>201</v>
      </c>
      <c r="AF9" s="31">
        <v>200</v>
      </c>
      <c r="AG9" s="31">
        <v>143</v>
      </c>
      <c r="AH9" s="31">
        <v>130</v>
      </c>
      <c r="AI9" s="31">
        <v>166</v>
      </c>
      <c r="AJ9" s="31">
        <v>185</v>
      </c>
      <c r="AK9" s="31">
        <v>178</v>
      </c>
      <c r="AL9" s="31">
        <v>188</v>
      </c>
      <c r="AM9" s="31">
        <v>201</v>
      </c>
      <c r="AN9" s="31">
        <v>195</v>
      </c>
      <c r="AO9" s="31">
        <v>199</v>
      </c>
      <c r="AP9" s="31">
        <v>203</v>
      </c>
      <c r="AQ9" s="31">
        <v>214</v>
      </c>
      <c r="AR9" s="31">
        <v>207</v>
      </c>
      <c r="AS9" s="31">
        <v>189</v>
      </c>
      <c r="AT9" s="31">
        <v>103</v>
      </c>
      <c r="AU9" s="31">
        <v>54</v>
      </c>
      <c r="AV9" s="31">
        <v>41</v>
      </c>
      <c r="AW9" s="31">
        <v>25</v>
      </c>
      <c r="AX9" s="31">
        <v>9</v>
      </c>
      <c r="AY9" s="31">
        <v>8</v>
      </c>
      <c r="AZ9" s="31">
        <v>18</v>
      </c>
      <c r="BA9" s="31">
        <v>16</v>
      </c>
      <c r="BB9" s="31">
        <v>16</v>
      </c>
      <c r="BC9" s="31">
        <v>36</v>
      </c>
      <c r="BD9" s="31">
        <v>64</v>
      </c>
      <c r="BE9" s="31">
        <v>140</v>
      </c>
      <c r="BF9" s="31">
        <v>180</v>
      </c>
      <c r="BG9" s="31">
        <v>193</v>
      </c>
      <c r="BH9" s="31">
        <v>198</v>
      </c>
      <c r="BI9" s="31">
        <v>198</v>
      </c>
      <c r="BJ9" s="31">
        <v>189</v>
      </c>
      <c r="BK9" s="31">
        <v>187</v>
      </c>
      <c r="BL9" s="31">
        <v>193</v>
      </c>
    </row>
    <row r="10" spans="1:64" ht="18" customHeight="1" x14ac:dyDescent="0.2">
      <c r="A10" s="31">
        <v>202</v>
      </c>
      <c r="B10" s="31">
        <v>202</v>
      </c>
      <c r="C10" s="31">
        <v>202</v>
      </c>
      <c r="D10" s="31">
        <v>202</v>
      </c>
      <c r="E10" s="31">
        <v>202</v>
      </c>
      <c r="F10" s="31">
        <v>202</v>
      </c>
      <c r="G10" s="31">
        <v>201</v>
      </c>
      <c r="H10" s="31">
        <v>205</v>
      </c>
      <c r="I10" s="31">
        <v>169</v>
      </c>
      <c r="J10" s="31">
        <v>73</v>
      </c>
      <c r="K10" s="31">
        <v>182</v>
      </c>
      <c r="L10" s="31">
        <v>194</v>
      </c>
      <c r="M10" s="31">
        <v>184</v>
      </c>
      <c r="N10" s="31">
        <v>191</v>
      </c>
      <c r="O10" s="31">
        <v>196</v>
      </c>
      <c r="P10" s="31">
        <v>194</v>
      </c>
      <c r="Q10" s="31">
        <v>181</v>
      </c>
      <c r="R10" s="31">
        <v>154</v>
      </c>
      <c r="S10" s="31">
        <v>137</v>
      </c>
      <c r="T10" s="31">
        <v>133</v>
      </c>
      <c r="U10" s="31">
        <v>106</v>
      </c>
      <c r="V10" s="31">
        <v>33</v>
      </c>
      <c r="W10" s="31">
        <v>103</v>
      </c>
      <c r="X10" s="31">
        <v>207</v>
      </c>
      <c r="Y10" s="31">
        <v>201</v>
      </c>
      <c r="Z10" s="31">
        <v>201</v>
      </c>
      <c r="AA10" s="31">
        <v>201</v>
      </c>
      <c r="AB10" s="31">
        <v>201</v>
      </c>
      <c r="AC10" s="31">
        <v>201</v>
      </c>
      <c r="AD10" s="31">
        <v>201</v>
      </c>
      <c r="AE10" s="31">
        <v>201</v>
      </c>
      <c r="AF10" s="31">
        <v>201</v>
      </c>
      <c r="AG10" s="31">
        <v>164</v>
      </c>
      <c r="AH10" s="31">
        <v>172</v>
      </c>
      <c r="AI10" s="31">
        <v>188</v>
      </c>
      <c r="AJ10" s="31">
        <v>185</v>
      </c>
      <c r="AK10" s="31">
        <v>176</v>
      </c>
      <c r="AL10" s="31">
        <v>177</v>
      </c>
      <c r="AM10" s="31">
        <v>196</v>
      </c>
      <c r="AN10" s="31">
        <v>198</v>
      </c>
      <c r="AO10" s="31">
        <v>196</v>
      </c>
      <c r="AP10" s="31">
        <v>195</v>
      </c>
      <c r="AQ10" s="31">
        <v>191</v>
      </c>
      <c r="AR10" s="31">
        <v>212</v>
      </c>
      <c r="AS10" s="31">
        <v>139</v>
      </c>
      <c r="AT10" s="31">
        <v>56</v>
      </c>
      <c r="AU10" s="31">
        <v>40</v>
      </c>
      <c r="AV10" s="31">
        <v>31</v>
      </c>
      <c r="AW10" s="31">
        <v>56</v>
      </c>
      <c r="AX10" s="31">
        <v>80</v>
      </c>
      <c r="AY10" s="31">
        <v>73</v>
      </c>
      <c r="AZ10" s="31">
        <v>70</v>
      </c>
      <c r="BA10" s="31">
        <v>99</v>
      </c>
      <c r="BB10" s="31">
        <v>63</v>
      </c>
      <c r="BC10" s="31">
        <v>25</v>
      </c>
      <c r="BD10" s="31">
        <v>43</v>
      </c>
      <c r="BE10" s="31">
        <v>75</v>
      </c>
      <c r="BF10" s="31">
        <v>137</v>
      </c>
      <c r="BG10" s="31">
        <v>191</v>
      </c>
      <c r="BH10" s="31">
        <v>187</v>
      </c>
      <c r="BI10" s="31">
        <v>194</v>
      </c>
      <c r="BJ10" s="31">
        <v>192</v>
      </c>
      <c r="BK10" s="31">
        <v>185</v>
      </c>
      <c r="BL10" s="31">
        <v>186</v>
      </c>
    </row>
    <row r="11" spans="1:64" ht="18" customHeight="1" x14ac:dyDescent="0.2">
      <c r="A11" s="31">
        <v>201</v>
      </c>
      <c r="B11" s="31">
        <v>202</v>
      </c>
      <c r="C11" s="31">
        <v>202</v>
      </c>
      <c r="D11" s="31">
        <v>201</v>
      </c>
      <c r="E11" s="31">
        <v>202</v>
      </c>
      <c r="F11" s="31">
        <v>202</v>
      </c>
      <c r="G11" s="31">
        <v>202</v>
      </c>
      <c r="H11" s="31">
        <v>204</v>
      </c>
      <c r="I11" s="31">
        <v>180</v>
      </c>
      <c r="J11" s="31">
        <v>100</v>
      </c>
      <c r="K11" s="31">
        <v>187</v>
      </c>
      <c r="L11" s="31">
        <v>167</v>
      </c>
      <c r="M11" s="31">
        <v>155</v>
      </c>
      <c r="N11" s="31">
        <v>149</v>
      </c>
      <c r="O11" s="31">
        <v>174</v>
      </c>
      <c r="P11" s="31">
        <v>177</v>
      </c>
      <c r="Q11" s="31">
        <v>142</v>
      </c>
      <c r="R11" s="31">
        <v>121</v>
      </c>
      <c r="S11" s="31">
        <v>114</v>
      </c>
      <c r="T11" s="31">
        <v>105</v>
      </c>
      <c r="U11" s="31">
        <v>106</v>
      </c>
      <c r="V11" s="31">
        <v>48</v>
      </c>
      <c r="W11" s="31">
        <v>118</v>
      </c>
      <c r="X11" s="31">
        <v>207</v>
      </c>
      <c r="Y11" s="31">
        <v>201</v>
      </c>
      <c r="Z11" s="31">
        <v>201</v>
      </c>
      <c r="AA11" s="31">
        <v>201</v>
      </c>
      <c r="AB11" s="31">
        <v>201</v>
      </c>
      <c r="AC11" s="31">
        <v>201</v>
      </c>
      <c r="AD11" s="31">
        <v>201</v>
      </c>
      <c r="AE11" s="31">
        <v>201</v>
      </c>
      <c r="AF11" s="31">
        <v>201</v>
      </c>
      <c r="AG11" s="31">
        <v>190</v>
      </c>
      <c r="AH11" s="31">
        <v>182</v>
      </c>
      <c r="AI11" s="31">
        <v>176</v>
      </c>
      <c r="AJ11" s="31">
        <v>180</v>
      </c>
      <c r="AK11" s="31">
        <v>175</v>
      </c>
      <c r="AL11" s="31">
        <v>177</v>
      </c>
      <c r="AM11" s="31">
        <v>186</v>
      </c>
      <c r="AN11" s="31">
        <v>188</v>
      </c>
      <c r="AO11" s="31">
        <v>179</v>
      </c>
      <c r="AP11" s="31">
        <v>186</v>
      </c>
      <c r="AQ11" s="31">
        <v>195</v>
      </c>
      <c r="AR11" s="31">
        <v>182</v>
      </c>
      <c r="AS11" s="31">
        <v>71</v>
      </c>
      <c r="AT11" s="31">
        <v>52</v>
      </c>
      <c r="AU11" s="31">
        <v>49</v>
      </c>
      <c r="AV11" s="31">
        <v>106</v>
      </c>
      <c r="AW11" s="31">
        <v>180</v>
      </c>
      <c r="AX11" s="31">
        <v>194</v>
      </c>
      <c r="AY11" s="31">
        <v>187</v>
      </c>
      <c r="AZ11" s="31">
        <v>185</v>
      </c>
      <c r="BA11" s="31">
        <v>208</v>
      </c>
      <c r="BB11" s="31">
        <v>198</v>
      </c>
      <c r="BC11" s="31">
        <v>108</v>
      </c>
      <c r="BD11" s="31">
        <v>45</v>
      </c>
      <c r="BE11" s="31">
        <v>22</v>
      </c>
      <c r="BF11" s="31">
        <v>81</v>
      </c>
      <c r="BG11" s="31">
        <v>196</v>
      </c>
      <c r="BH11" s="31">
        <v>183</v>
      </c>
      <c r="BI11" s="31">
        <v>190</v>
      </c>
      <c r="BJ11" s="31">
        <v>190</v>
      </c>
      <c r="BK11" s="31">
        <v>192</v>
      </c>
      <c r="BL11" s="31">
        <v>192</v>
      </c>
    </row>
    <row r="12" spans="1:64" ht="18" customHeight="1" x14ac:dyDescent="0.2">
      <c r="A12" s="31">
        <v>202</v>
      </c>
      <c r="B12" s="31">
        <v>202</v>
      </c>
      <c r="C12" s="31">
        <v>202</v>
      </c>
      <c r="D12" s="31">
        <v>202</v>
      </c>
      <c r="E12" s="31">
        <v>202</v>
      </c>
      <c r="F12" s="31">
        <v>202</v>
      </c>
      <c r="G12" s="31">
        <v>202</v>
      </c>
      <c r="H12" s="31">
        <v>202</v>
      </c>
      <c r="I12" s="31">
        <v>195</v>
      </c>
      <c r="J12" s="31">
        <v>113</v>
      </c>
      <c r="K12" s="31">
        <v>165</v>
      </c>
      <c r="L12" s="31">
        <v>172</v>
      </c>
      <c r="M12" s="31">
        <v>134</v>
      </c>
      <c r="N12" s="31">
        <v>135</v>
      </c>
      <c r="O12" s="31">
        <v>157</v>
      </c>
      <c r="P12" s="31">
        <v>154</v>
      </c>
      <c r="Q12" s="31">
        <v>123</v>
      </c>
      <c r="R12" s="31">
        <v>139</v>
      </c>
      <c r="S12" s="31">
        <v>115</v>
      </c>
      <c r="T12" s="31">
        <v>109</v>
      </c>
      <c r="U12" s="31">
        <v>102</v>
      </c>
      <c r="V12" s="31">
        <v>48</v>
      </c>
      <c r="W12" s="31">
        <v>126</v>
      </c>
      <c r="X12" s="31">
        <v>207</v>
      </c>
      <c r="Y12" s="31">
        <v>201</v>
      </c>
      <c r="Z12" s="31">
        <v>201</v>
      </c>
      <c r="AA12" s="62" t="s">
        <v>27</v>
      </c>
      <c r="AB12" s="62" t="s">
        <v>28</v>
      </c>
      <c r="AC12" s="48" t="s">
        <v>29</v>
      </c>
      <c r="AD12" s="48" t="s">
        <v>30</v>
      </c>
      <c r="AE12" s="48" t="s">
        <v>31</v>
      </c>
      <c r="AF12" s="48" t="s">
        <v>22</v>
      </c>
      <c r="AG12" s="48" t="s">
        <v>15</v>
      </c>
      <c r="AH12" s="48" t="s">
        <v>32</v>
      </c>
      <c r="AI12" s="48" t="s">
        <v>30</v>
      </c>
      <c r="AJ12" s="48" t="s">
        <v>15</v>
      </c>
      <c r="AK12" s="48" t="s">
        <v>33</v>
      </c>
      <c r="AL12" s="48" t="s">
        <v>34</v>
      </c>
      <c r="AM12" s="31">
        <v>181</v>
      </c>
      <c r="AN12" s="31">
        <v>184</v>
      </c>
      <c r="AO12" s="31">
        <v>178</v>
      </c>
      <c r="AP12" s="31">
        <v>193</v>
      </c>
      <c r="AQ12" s="31">
        <v>198</v>
      </c>
      <c r="AR12" s="31">
        <v>182</v>
      </c>
      <c r="AS12" s="31">
        <v>64</v>
      </c>
      <c r="AT12" s="31">
        <v>55</v>
      </c>
      <c r="AU12" s="31">
        <v>152</v>
      </c>
      <c r="AV12" s="31">
        <v>211</v>
      </c>
      <c r="AW12" s="31">
        <v>214</v>
      </c>
      <c r="AX12" s="31">
        <v>206</v>
      </c>
      <c r="AY12" s="31">
        <v>204</v>
      </c>
      <c r="AZ12" s="31">
        <v>205</v>
      </c>
      <c r="BA12" s="31">
        <v>208</v>
      </c>
      <c r="BB12" s="31">
        <v>211</v>
      </c>
      <c r="BC12" s="31">
        <v>179</v>
      </c>
      <c r="BD12" s="31">
        <v>46</v>
      </c>
      <c r="BE12" s="31">
        <v>17</v>
      </c>
      <c r="BF12" s="31">
        <v>67</v>
      </c>
      <c r="BG12" s="31">
        <v>195</v>
      </c>
      <c r="BH12" s="31">
        <v>191</v>
      </c>
      <c r="BI12" s="31">
        <v>189</v>
      </c>
      <c r="BJ12" s="31">
        <v>189</v>
      </c>
      <c r="BK12" s="31">
        <v>189</v>
      </c>
      <c r="BL12" s="31">
        <v>196</v>
      </c>
    </row>
    <row r="13" spans="1:64" ht="18" customHeight="1" x14ac:dyDescent="0.2">
      <c r="A13" s="31">
        <v>202</v>
      </c>
      <c r="B13" s="31">
        <v>202</v>
      </c>
      <c r="C13" s="31">
        <v>202</v>
      </c>
      <c r="D13" s="31">
        <v>202</v>
      </c>
      <c r="E13" s="31">
        <v>202</v>
      </c>
      <c r="F13" s="31">
        <v>202</v>
      </c>
      <c r="G13" s="31">
        <v>202</v>
      </c>
      <c r="H13" s="31">
        <v>203</v>
      </c>
      <c r="I13" s="31">
        <v>189</v>
      </c>
      <c r="J13" s="31">
        <v>160</v>
      </c>
      <c r="K13" s="31">
        <v>183</v>
      </c>
      <c r="L13" s="31">
        <v>183</v>
      </c>
      <c r="M13" s="31">
        <v>188</v>
      </c>
      <c r="N13" s="31">
        <v>184</v>
      </c>
      <c r="O13" s="31">
        <v>180</v>
      </c>
      <c r="P13" s="31">
        <v>166</v>
      </c>
      <c r="Q13" s="31">
        <v>125</v>
      </c>
      <c r="R13" s="31">
        <v>171</v>
      </c>
      <c r="S13" s="31">
        <v>151</v>
      </c>
      <c r="T13" s="31">
        <v>134</v>
      </c>
      <c r="U13" s="31">
        <v>123</v>
      </c>
      <c r="V13" s="31">
        <v>73</v>
      </c>
      <c r="W13" s="31">
        <v>110</v>
      </c>
      <c r="X13" s="31">
        <v>194</v>
      </c>
      <c r="Y13" s="31">
        <v>202</v>
      </c>
      <c r="Z13" s="31">
        <v>201</v>
      </c>
      <c r="AA13" s="31">
        <v>201</v>
      </c>
      <c r="AB13" s="31">
        <v>201</v>
      </c>
      <c r="AC13" s="31">
        <v>201</v>
      </c>
      <c r="AD13" s="31">
        <v>201</v>
      </c>
      <c r="AE13" s="31">
        <v>201</v>
      </c>
      <c r="AF13" s="31">
        <v>201</v>
      </c>
      <c r="AG13" s="31">
        <v>176</v>
      </c>
      <c r="AH13" s="31">
        <v>184</v>
      </c>
      <c r="AI13" s="31">
        <v>171</v>
      </c>
      <c r="AJ13" s="31">
        <v>163</v>
      </c>
      <c r="AK13" s="31">
        <v>167</v>
      </c>
      <c r="AL13" s="31">
        <v>172</v>
      </c>
      <c r="AM13" s="31">
        <v>166</v>
      </c>
      <c r="AN13" s="31">
        <v>172</v>
      </c>
      <c r="AO13" s="31">
        <v>178</v>
      </c>
      <c r="AP13" s="31">
        <v>187</v>
      </c>
      <c r="AQ13" s="31">
        <v>198</v>
      </c>
      <c r="AR13" s="31">
        <v>170</v>
      </c>
      <c r="AS13" s="31">
        <v>36</v>
      </c>
      <c r="AT13" s="31">
        <v>117</v>
      </c>
      <c r="AU13" s="31">
        <v>221</v>
      </c>
      <c r="AV13" s="31">
        <v>220</v>
      </c>
      <c r="AW13" s="31">
        <v>220</v>
      </c>
      <c r="AX13" s="31">
        <v>213</v>
      </c>
      <c r="AY13" s="31">
        <v>211</v>
      </c>
      <c r="AZ13" s="31">
        <v>212</v>
      </c>
      <c r="BA13" s="31">
        <v>213</v>
      </c>
      <c r="BB13" s="31">
        <v>203</v>
      </c>
      <c r="BC13" s="31">
        <v>193</v>
      </c>
      <c r="BD13" s="31">
        <v>81</v>
      </c>
      <c r="BE13" s="31">
        <v>8</v>
      </c>
      <c r="BF13" s="31">
        <v>94</v>
      </c>
      <c r="BG13" s="31">
        <v>186</v>
      </c>
      <c r="BH13" s="31">
        <v>186</v>
      </c>
      <c r="BI13" s="31">
        <v>186</v>
      </c>
      <c r="BJ13" s="31">
        <v>182</v>
      </c>
      <c r="BK13" s="31">
        <v>188</v>
      </c>
      <c r="BL13" s="31">
        <v>187</v>
      </c>
    </row>
    <row r="14" spans="1:64" ht="18" customHeight="1" thickBot="1" x14ac:dyDescent="0.25">
      <c r="A14" s="31">
        <v>202</v>
      </c>
      <c r="B14" s="31">
        <v>202</v>
      </c>
      <c r="C14" s="31">
        <v>202</v>
      </c>
      <c r="D14" s="31">
        <v>202</v>
      </c>
      <c r="E14" s="31">
        <v>202</v>
      </c>
      <c r="F14" s="31">
        <v>202</v>
      </c>
      <c r="G14" s="31">
        <v>202</v>
      </c>
      <c r="H14" s="31">
        <v>202</v>
      </c>
      <c r="I14" s="31">
        <v>193</v>
      </c>
      <c r="J14" s="31">
        <v>176</v>
      </c>
      <c r="K14" s="31">
        <v>194</v>
      </c>
      <c r="L14" s="31">
        <v>199</v>
      </c>
      <c r="M14" s="31">
        <v>193</v>
      </c>
      <c r="N14" s="31">
        <v>190</v>
      </c>
      <c r="O14" s="31">
        <v>201</v>
      </c>
      <c r="P14" s="31">
        <v>176</v>
      </c>
      <c r="Q14" s="31">
        <v>143</v>
      </c>
      <c r="R14" s="31">
        <v>172</v>
      </c>
      <c r="S14" s="31">
        <v>178</v>
      </c>
      <c r="T14" s="31">
        <v>160</v>
      </c>
      <c r="U14" s="31">
        <v>117</v>
      </c>
      <c r="V14" s="31">
        <v>82</v>
      </c>
      <c r="W14" s="31">
        <v>98</v>
      </c>
      <c r="X14" s="31">
        <v>189</v>
      </c>
      <c r="Y14" s="31">
        <v>203</v>
      </c>
      <c r="Z14" s="31">
        <v>201</v>
      </c>
      <c r="AA14" s="31">
        <v>201</v>
      </c>
      <c r="AB14" s="31">
        <v>201</v>
      </c>
      <c r="AC14" s="31">
        <v>201</v>
      </c>
      <c r="AD14" s="31"/>
      <c r="AE14" s="60"/>
      <c r="AF14" s="31"/>
      <c r="AG14" s="33">
        <v>179</v>
      </c>
      <c r="AH14" s="60"/>
      <c r="AI14" s="31"/>
      <c r="AJ14" s="61"/>
      <c r="AK14" s="33">
        <v>150</v>
      </c>
      <c r="AL14" s="31">
        <v>142</v>
      </c>
      <c r="AM14" s="31">
        <v>151</v>
      </c>
      <c r="AN14" s="31">
        <v>151</v>
      </c>
      <c r="AO14" s="31">
        <v>161</v>
      </c>
      <c r="AP14" s="31">
        <v>172</v>
      </c>
      <c r="AQ14" s="31">
        <v>192</v>
      </c>
      <c r="AR14" s="31">
        <v>125</v>
      </c>
      <c r="AS14" s="31">
        <v>27</v>
      </c>
      <c r="AT14" s="31">
        <v>174</v>
      </c>
      <c r="AU14" s="31">
        <v>204</v>
      </c>
      <c r="AV14" s="31">
        <v>182</v>
      </c>
      <c r="AW14" s="31">
        <v>152</v>
      </c>
      <c r="AX14" s="31">
        <v>158</v>
      </c>
      <c r="AY14" s="31">
        <v>176</v>
      </c>
      <c r="AZ14" s="31">
        <v>181</v>
      </c>
      <c r="BA14" s="31">
        <v>178</v>
      </c>
      <c r="BB14" s="31">
        <v>190</v>
      </c>
      <c r="BC14" s="31">
        <v>196</v>
      </c>
      <c r="BD14" s="31">
        <v>133</v>
      </c>
      <c r="BE14" s="31">
        <v>11</v>
      </c>
      <c r="BF14" s="31">
        <v>119</v>
      </c>
      <c r="BG14" s="31">
        <v>187</v>
      </c>
      <c r="BH14" s="31">
        <v>183</v>
      </c>
      <c r="BI14" s="31">
        <v>182</v>
      </c>
      <c r="BJ14" s="31">
        <v>183</v>
      </c>
      <c r="BK14" s="31">
        <v>188</v>
      </c>
      <c r="BL14" s="31">
        <v>177</v>
      </c>
    </row>
    <row r="15" spans="1:64" ht="18" customHeight="1" thickTop="1" x14ac:dyDescent="0.2">
      <c r="A15" s="31">
        <v>202</v>
      </c>
      <c r="B15" s="31">
        <v>202</v>
      </c>
      <c r="C15" s="31">
        <v>202</v>
      </c>
      <c r="D15" s="31">
        <v>202</v>
      </c>
      <c r="E15" s="31">
        <v>202</v>
      </c>
      <c r="F15" s="31">
        <v>202</v>
      </c>
      <c r="G15" s="31">
        <v>202</v>
      </c>
      <c r="H15" s="31">
        <v>202</v>
      </c>
      <c r="I15" s="31">
        <v>201</v>
      </c>
      <c r="J15" s="31">
        <v>188</v>
      </c>
      <c r="K15" s="31">
        <v>195</v>
      </c>
      <c r="L15" s="31">
        <v>207</v>
      </c>
      <c r="M15" s="31">
        <v>190</v>
      </c>
      <c r="N15" s="31">
        <v>178</v>
      </c>
      <c r="O15" s="31">
        <v>191</v>
      </c>
      <c r="P15" s="31">
        <v>159</v>
      </c>
      <c r="Q15" s="31">
        <v>127</v>
      </c>
      <c r="R15" s="31">
        <v>166</v>
      </c>
      <c r="S15" s="31">
        <v>181</v>
      </c>
      <c r="T15" s="31">
        <v>151</v>
      </c>
      <c r="U15" s="31">
        <v>110</v>
      </c>
      <c r="V15" s="31">
        <v>81</v>
      </c>
      <c r="W15" s="31">
        <v>121</v>
      </c>
      <c r="X15" s="31">
        <v>203</v>
      </c>
      <c r="Y15" s="31">
        <v>201</v>
      </c>
      <c r="Z15" s="31">
        <v>201</v>
      </c>
      <c r="AA15" s="31">
        <v>201</v>
      </c>
      <c r="AB15" s="31">
        <v>201</v>
      </c>
      <c r="AC15" s="31">
        <v>201</v>
      </c>
      <c r="AD15" s="31"/>
      <c r="AE15" s="33">
        <v>201</v>
      </c>
      <c r="AF15" s="31"/>
      <c r="AG15" s="33">
        <v>179</v>
      </c>
      <c r="AH15" s="31">
        <v>157</v>
      </c>
      <c r="AI15" s="31"/>
      <c r="AJ15" s="33">
        <v>149</v>
      </c>
      <c r="AK15" s="31">
        <v>149</v>
      </c>
      <c r="AL15" s="31">
        <v>123</v>
      </c>
      <c r="AM15" s="31">
        <v>148</v>
      </c>
      <c r="AN15" s="31">
        <v>168</v>
      </c>
      <c r="AO15" s="31">
        <v>161</v>
      </c>
      <c r="AP15" s="31">
        <v>177</v>
      </c>
      <c r="AQ15" s="31">
        <v>198</v>
      </c>
      <c r="AR15" s="31">
        <v>115</v>
      </c>
      <c r="AS15" s="31">
        <v>107</v>
      </c>
      <c r="AT15" s="31">
        <v>183</v>
      </c>
      <c r="AU15" s="31">
        <v>100</v>
      </c>
      <c r="AV15" s="31">
        <v>102</v>
      </c>
      <c r="AW15" s="31">
        <v>80</v>
      </c>
      <c r="AX15" s="31">
        <v>81</v>
      </c>
      <c r="AY15" s="31">
        <v>129</v>
      </c>
      <c r="AZ15" s="31">
        <v>108</v>
      </c>
      <c r="BA15" s="31">
        <v>87</v>
      </c>
      <c r="BB15" s="31">
        <v>116</v>
      </c>
      <c r="BC15" s="31">
        <v>150</v>
      </c>
      <c r="BD15" s="31">
        <v>154</v>
      </c>
      <c r="BE15" s="31">
        <v>27</v>
      </c>
      <c r="BF15" s="31">
        <v>116</v>
      </c>
      <c r="BG15" s="31">
        <v>189</v>
      </c>
      <c r="BH15" s="31">
        <v>181</v>
      </c>
      <c r="BI15" s="31">
        <v>186</v>
      </c>
      <c r="BJ15" s="31">
        <v>182</v>
      </c>
      <c r="BK15" s="31">
        <v>186</v>
      </c>
      <c r="BL15" s="31">
        <v>178</v>
      </c>
    </row>
    <row r="16" spans="1:64" ht="18" customHeight="1" thickBot="1" x14ac:dyDescent="0.25">
      <c r="A16" s="31">
        <v>202</v>
      </c>
      <c r="B16" s="31">
        <v>202</v>
      </c>
      <c r="C16" s="31">
        <v>202</v>
      </c>
      <c r="D16" s="31">
        <v>202</v>
      </c>
      <c r="E16" s="31">
        <v>202</v>
      </c>
      <c r="F16" s="31">
        <v>202</v>
      </c>
      <c r="G16" s="31">
        <v>202</v>
      </c>
      <c r="H16" s="31">
        <v>202</v>
      </c>
      <c r="I16" s="31">
        <v>201</v>
      </c>
      <c r="J16" s="31">
        <v>197</v>
      </c>
      <c r="K16" s="31">
        <v>195</v>
      </c>
      <c r="L16" s="31">
        <v>195</v>
      </c>
      <c r="M16" s="31">
        <v>172</v>
      </c>
      <c r="N16" s="31">
        <v>184</v>
      </c>
      <c r="O16" s="31">
        <v>172</v>
      </c>
      <c r="P16" s="31">
        <v>127</v>
      </c>
      <c r="Q16" s="31">
        <v>114</v>
      </c>
      <c r="R16" s="31">
        <v>148</v>
      </c>
      <c r="S16" s="31">
        <v>160</v>
      </c>
      <c r="T16" s="31">
        <v>134</v>
      </c>
      <c r="U16" s="31">
        <v>108</v>
      </c>
      <c r="V16" s="31">
        <v>99</v>
      </c>
      <c r="W16" s="31">
        <v>175</v>
      </c>
      <c r="X16" s="31">
        <v>204</v>
      </c>
      <c r="Y16" s="31">
        <v>201</v>
      </c>
      <c r="Z16" s="31">
        <v>201</v>
      </c>
      <c r="AA16" s="31">
        <v>201</v>
      </c>
      <c r="AB16" s="31">
        <v>201</v>
      </c>
      <c r="AC16" s="31"/>
      <c r="AD16" s="61"/>
      <c r="AE16" s="33">
        <v>201</v>
      </c>
      <c r="AF16" s="31"/>
      <c r="AG16" s="33">
        <v>171</v>
      </c>
      <c r="AH16" s="31">
        <v>164</v>
      </c>
      <c r="AI16" s="31"/>
      <c r="AJ16" s="33">
        <v>165</v>
      </c>
      <c r="AK16" s="31">
        <v>135</v>
      </c>
      <c r="AL16" s="31">
        <v>125</v>
      </c>
      <c r="AM16" s="31">
        <v>151</v>
      </c>
      <c r="AN16" s="31">
        <v>174</v>
      </c>
      <c r="AO16" s="31">
        <v>165</v>
      </c>
      <c r="AP16" s="31">
        <v>184</v>
      </c>
      <c r="AQ16" s="31">
        <v>197</v>
      </c>
      <c r="AR16" s="31">
        <v>162</v>
      </c>
      <c r="AS16" s="31">
        <v>148</v>
      </c>
      <c r="AT16" s="31">
        <v>211</v>
      </c>
      <c r="AU16" s="31">
        <v>164</v>
      </c>
      <c r="AV16" s="31">
        <v>136</v>
      </c>
      <c r="AW16" s="31">
        <v>121</v>
      </c>
      <c r="AX16" s="31">
        <v>139</v>
      </c>
      <c r="AY16" s="31">
        <v>137</v>
      </c>
      <c r="AZ16" s="31">
        <v>104</v>
      </c>
      <c r="BA16" s="31">
        <v>92</v>
      </c>
      <c r="BB16" s="31">
        <v>83</v>
      </c>
      <c r="BC16" s="31">
        <v>100</v>
      </c>
      <c r="BD16" s="31">
        <v>104</v>
      </c>
      <c r="BE16" s="31">
        <v>47</v>
      </c>
      <c r="BF16" s="31">
        <v>87</v>
      </c>
      <c r="BG16" s="31">
        <v>183</v>
      </c>
      <c r="BH16" s="31">
        <v>176</v>
      </c>
      <c r="BI16" s="31">
        <v>182</v>
      </c>
      <c r="BJ16" s="31">
        <v>186</v>
      </c>
      <c r="BK16" s="31">
        <v>193</v>
      </c>
      <c r="BL16" s="31">
        <v>185</v>
      </c>
    </row>
    <row r="17" spans="1:64" ht="18" customHeight="1" thickTop="1" x14ac:dyDescent="0.2">
      <c r="A17" s="31">
        <v>202</v>
      </c>
      <c r="B17" s="31">
        <v>202</v>
      </c>
      <c r="C17" s="31">
        <v>202</v>
      </c>
      <c r="D17" s="31">
        <v>202</v>
      </c>
      <c r="E17" s="31">
        <v>202</v>
      </c>
      <c r="F17" s="31">
        <v>202</v>
      </c>
      <c r="G17" s="31">
        <v>202</v>
      </c>
      <c r="H17" s="31">
        <v>202</v>
      </c>
      <c r="I17" s="31">
        <v>202</v>
      </c>
      <c r="J17" s="31">
        <v>199</v>
      </c>
      <c r="K17" s="31">
        <v>193</v>
      </c>
      <c r="L17" s="31">
        <v>195</v>
      </c>
      <c r="M17" s="31">
        <v>171</v>
      </c>
      <c r="N17" s="31">
        <v>151</v>
      </c>
      <c r="O17" s="31">
        <v>160</v>
      </c>
      <c r="P17" s="31">
        <v>147</v>
      </c>
      <c r="Q17" s="31">
        <v>114</v>
      </c>
      <c r="R17" s="31">
        <v>120</v>
      </c>
      <c r="S17" s="31">
        <v>150</v>
      </c>
      <c r="T17" s="31">
        <v>128</v>
      </c>
      <c r="U17" s="31">
        <v>113</v>
      </c>
      <c r="V17" s="31">
        <v>174</v>
      </c>
      <c r="W17" s="31">
        <v>202</v>
      </c>
      <c r="X17" s="31">
        <v>201</v>
      </c>
      <c r="Y17" s="31">
        <v>201</v>
      </c>
      <c r="Z17" s="31">
        <v>201</v>
      </c>
      <c r="AA17" s="31">
        <v>201</v>
      </c>
      <c r="AB17" s="31">
        <v>201</v>
      </c>
      <c r="AC17" s="31"/>
      <c r="AD17" s="33">
        <v>201</v>
      </c>
      <c r="AE17" s="31">
        <v>201</v>
      </c>
      <c r="AF17" s="31"/>
      <c r="AG17" s="33">
        <v>176</v>
      </c>
      <c r="AH17" s="31">
        <v>164</v>
      </c>
      <c r="AI17" s="31"/>
      <c r="AJ17" s="33">
        <v>148</v>
      </c>
      <c r="AK17" s="31">
        <v>113</v>
      </c>
      <c r="AL17" s="31">
        <v>134</v>
      </c>
      <c r="AM17" s="31">
        <v>123</v>
      </c>
      <c r="AN17" s="31">
        <v>158</v>
      </c>
      <c r="AO17" s="31">
        <v>170</v>
      </c>
      <c r="AP17" s="31">
        <v>177</v>
      </c>
      <c r="AQ17" s="31">
        <v>187</v>
      </c>
      <c r="AR17" s="31">
        <v>176</v>
      </c>
      <c r="AS17" s="31">
        <v>185</v>
      </c>
      <c r="AT17" s="31">
        <v>226</v>
      </c>
      <c r="AU17" s="31">
        <v>200</v>
      </c>
      <c r="AV17" s="31">
        <v>188</v>
      </c>
      <c r="AW17" s="31">
        <v>178</v>
      </c>
      <c r="AX17" s="31">
        <v>182</v>
      </c>
      <c r="AY17" s="31">
        <v>214</v>
      </c>
      <c r="AZ17" s="31">
        <v>170</v>
      </c>
      <c r="BA17" s="31">
        <v>162</v>
      </c>
      <c r="BB17" s="31">
        <v>155</v>
      </c>
      <c r="BC17" s="31">
        <v>160</v>
      </c>
      <c r="BD17" s="31">
        <v>158</v>
      </c>
      <c r="BE17" s="31">
        <v>88</v>
      </c>
      <c r="BF17" s="31">
        <v>144</v>
      </c>
      <c r="BG17" s="31">
        <v>189</v>
      </c>
      <c r="BH17" s="31">
        <v>178</v>
      </c>
      <c r="BI17" s="31">
        <v>179</v>
      </c>
      <c r="BJ17" s="31">
        <v>188</v>
      </c>
      <c r="BK17" s="31">
        <v>191</v>
      </c>
      <c r="BL17" s="31">
        <v>192</v>
      </c>
    </row>
    <row r="18" spans="1:64" ht="18" customHeight="1" thickBot="1" x14ac:dyDescent="0.25">
      <c r="A18" s="31">
        <v>202</v>
      </c>
      <c r="B18" s="31">
        <v>202</v>
      </c>
      <c r="C18" s="31">
        <v>202</v>
      </c>
      <c r="D18" s="31">
        <v>202</v>
      </c>
      <c r="E18" s="31">
        <v>202</v>
      </c>
      <c r="F18" s="31">
        <v>202</v>
      </c>
      <c r="G18" s="31">
        <v>202</v>
      </c>
      <c r="H18" s="31">
        <v>202</v>
      </c>
      <c r="I18" s="31">
        <v>202</v>
      </c>
      <c r="J18" s="31">
        <v>202</v>
      </c>
      <c r="K18" s="31">
        <v>192</v>
      </c>
      <c r="L18" s="31">
        <v>191</v>
      </c>
      <c r="M18" s="31">
        <v>176</v>
      </c>
      <c r="N18" s="31">
        <v>160</v>
      </c>
      <c r="O18" s="31">
        <v>168</v>
      </c>
      <c r="P18" s="31">
        <v>162</v>
      </c>
      <c r="Q18" s="31">
        <v>117</v>
      </c>
      <c r="R18" s="31">
        <v>126</v>
      </c>
      <c r="S18" s="31">
        <v>150</v>
      </c>
      <c r="T18" s="31">
        <v>119</v>
      </c>
      <c r="U18" s="31">
        <v>131</v>
      </c>
      <c r="V18" s="31">
        <v>204</v>
      </c>
      <c r="W18" s="31">
        <v>201</v>
      </c>
      <c r="X18" s="31">
        <v>201</v>
      </c>
      <c r="Y18" s="31">
        <v>201</v>
      </c>
      <c r="Z18" s="31">
        <v>201</v>
      </c>
      <c r="AA18" s="31">
        <v>201</v>
      </c>
      <c r="AB18" s="31"/>
      <c r="AC18" s="60"/>
      <c r="AD18" s="60"/>
      <c r="AE18" s="60"/>
      <c r="AF18" s="31"/>
      <c r="AG18" s="33">
        <v>162</v>
      </c>
      <c r="AH18" s="31">
        <v>159</v>
      </c>
      <c r="AI18" s="31"/>
      <c r="AJ18" s="33">
        <v>134</v>
      </c>
      <c r="AK18" s="31">
        <v>104</v>
      </c>
      <c r="AL18" s="31">
        <v>122</v>
      </c>
      <c r="AM18" s="31">
        <v>161</v>
      </c>
      <c r="AN18" s="31">
        <v>168</v>
      </c>
      <c r="AO18" s="31">
        <v>177</v>
      </c>
      <c r="AP18" s="31">
        <v>170</v>
      </c>
      <c r="AQ18" s="31">
        <v>178</v>
      </c>
      <c r="AR18" s="31">
        <v>164</v>
      </c>
      <c r="AS18" s="31">
        <v>180</v>
      </c>
      <c r="AT18" s="31">
        <v>214</v>
      </c>
      <c r="AU18" s="31">
        <v>192</v>
      </c>
      <c r="AV18" s="31">
        <v>120</v>
      </c>
      <c r="AW18" s="31">
        <v>125</v>
      </c>
      <c r="AX18" s="31">
        <v>151</v>
      </c>
      <c r="AY18" s="31">
        <v>172</v>
      </c>
      <c r="AZ18" s="31">
        <v>153</v>
      </c>
      <c r="BA18" s="31">
        <v>130</v>
      </c>
      <c r="BB18" s="31">
        <v>148</v>
      </c>
      <c r="BC18" s="31">
        <v>177</v>
      </c>
      <c r="BD18" s="31">
        <v>188</v>
      </c>
      <c r="BE18" s="31">
        <v>131</v>
      </c>
      <c r="BF18" s="31">
        <v>174</v>
      </c>
      <c r="BG18" s="31">
        <v>185</v>
      </c>
      <c r="BH18" s="31">
        <v>174</v>
      </c>
      <c r="BI18" s="31">
        <v>173</v>
      </c>
      <c r="BJ18" s="31">
        <v>173</v>
      </c>
      <c r="BK18" s="31">
        <v>190</v>
      </c>
      <c r="BL18" s="31">
        <v>185</v>
      </c>
    </row>
    <row r="19" spans="1:64" ht="18" customHeight="1" thickTop="1" x14ac:dyDescent="0.2">
      <c r="A19" s="31">
        <v>202</v>
      </c>
      <c r="B19" s="31">
        <v>202</v>
      </c>
      <c r="C19" s="31">
        <v>202</v>
      </c>
      <c r="D19" s="31">
        <v>202</v>
      </c>
      <c r="E19" s="31">
        <v>202</v>
      </c>
      <c r="F19" s="31">
        <v>202</v>
      </c>
      <c r="G19" s="31">
        <v>202</v>
      </c>
      <c r="H19" s="31">
        <v>202</v>
      </c>
      <c r="I19" s="31">
        <v>202</v>
      </c>
      <c r="J19" s="31">
        <v>202</v>
      </c>
      <c r="K19" s="31">
        <v>195</v>
      </c>
      <c r="L19" s="31">
        <v>176</v>
      </c>
      <c r="M19" s="31">
        <v>183</v>
      </c>
      <c r="N19" s="31">
        <v>194</v>
      </c>
      <c r="O19" s="31">
        <v>173</v>
      </c>
      <c r="P19" s="31">
        <v>148</v>
      </c>
      <c r="Q19" s="31">
        <v>141</v>
      </c>
      <c r="R19" s="31">
        <v>147</v>
      </c>
      <c r="S19" s="31">
        <v>127</v>
      </c>
      <c r="T19" s="31">
        <v>98</v>
      </c>
      <c r="U19" s="31">
        <v>166</v>
      </c>
      <c r="V19" s="31">
        <v>204</v>
      </c>
      <c r="W19" s="31">
        <v>201</v>
      </c>
      <c r="X19" s="31">
        <v>201</v>
      </c>
      <c r="Y19" s="31">
        <v>201</v>
      </c>
      <c r="Z19" s="31">
        <v>201</v>
      </c>
      <c r="AA19" s="31">
        <v>201</v>
      </c>
      <c r="AB19" s="31"/>
      <c r="AC19" s="33">
        <v>201</v>
      </c>
      <c r="AD19" s="31">
        <v>201</v>
      </c>
      <c r="AE19" s="31">
        <v>201</v>
      </c>
      <c r="AF19" s="31"/>
      <c r="AG19" s="33">
        <v>152</v>
      </c>
      <c r="AH19" s="31">
        <v>160</v>
      </c>
      <c r="AI19" s="31"/>
      <c r="AJ19" s="33">
        <v>119</v>
      </c>
      <c r="AK19" s="31">
        <v>145</v>
      </c>
      <c r="AL19" s="31">
        <v>161</v>
      </c>
      <c r="AM19" s="31">
        <v>177</v>
      </c>
      <c r="AN19" s="31">
        <v>170</v>
      </c>
      <c r="AO19" s="31">
        <v>145</v>
      </c>
      <c r="AP19" s="31">
        <v>158</v>
      </c>
      <c r="AQ19" s="31">
        <v>165</v>
      </c>
      <c r="AR19" s="31">
        <v>153</v>
      </c>
      <c r="AS19" s="31">
        <v>122</v>
      </c>
      <c r="AT19" s="31">
        <v>159</v>
      </c>
      <c r="AU19" s="31">
        <v>138</v>
      </c>
      <c r="AV19" s="31">
        <v>68</v>
      </c>
      <c r="AW19" s="31">
        <v>116</v>
      </c>
      <c r="AX19" s="31">
        <v>84</v>
      </c>
      <c r="AY19" s="31">
        <v>69</v>
      </c>
      <c r="AZ19" s="31">
        <v>66</v>
      </c>
      <c r="BA19" s="31">
        <v>122</v>
      </c>
      <c r="BB19" s="31">
        <v>117</v>
      </c>
      <c r="BC19" s="31">
        <v>161</v>
      </c>
      <c r="BD19" s="31">
        <v>172</v>
      </c>
      <c r="BE19" s="31">
        <v>141</v>
      </c>
      <c r="BF19" s="31">
        <v>168</v>
      </c>
      <c r="BG19" s="31">
        <v>174</v>
      </c>
      <c r="BH19" s="31">
        <v>180</v>
      </c>
      <c r="BI19" s="31">
        <v>175</v>
      </c>
      <c r="BJ19" s="31">
        <v>176</v>
      </c>
      <c r="BK19" s="31">
        <v>179</v>
      </c>
      <c r="BL19" s="31">
        <v>160</v>
      </c>
    </row>
    <row r="20" spans="1:64" ht="18" customHeight="1" x14ac:dyDescent="0.2">
      <c r="A20" s="31">
        <v>202</v>
      </c>
      <c r="B20" s="31">
        <v>202</v>
      </c>
      <c r="C20" s="31">
        <v>202</v>
      </c>
      <c r="D20" s="31">
        <v>202</v>
      </c>
      <c r="E20" s="31">
        <v>202</v>
      </c>
      <c r="F20" s="31">
        <v>202</v>
      </c>
      <c r="G20" s="31">
        <v>202</v>
      </c>
      <c r="H20" s="31">
        <v>202</v>
      </c>
      <c r="I20" s="31">
        <v>202</v>
      </c>
      <c r="J20" s="31">
        <v>201</v>
      </c>
      <c r="K20" s="31">
        <v>203</v>
      </c>
      <c r="L20" s="31">
        <v>182</v>
      </c>
      <c r="M20" s="31">
        <v>163</v>
      </c>
      <c r="N20" s="31">
        <v>188</v>
      </c>
      <c r="O20" s="31">
        <v>186</v>
      </c>
      <c r="P20" s="31">
        <v>174</v>
      </c>
      <c r="Q20" s="31">
        <v>159</v>
      </c>
      <c r="R20" s="31">
        <v>127</v>
      </c>
      <c r="S20" s="31">
        <v>91</v>
      </c>
      <c r="T20" s="31">
        <v>88</v>
      </c>
      <c r="U20" s="31">
        <v>186</v>
      </c>
      <c r="V20" s="31">
        <v>204</v>
      </c>
      <c r="W20" s="31">
        <v>201</v>
      </c>
      <c r="X20" s="31">
        <v>201</v>
      </c>
      <c r="Y20" s="31">
        <v>201</v>
      </c>
      <c r="Z20" s="31">
        <v>201</v>
      </c>
      <c r="AA20" s="31">
        <v>201</v>
      </c>
      <c r="AB20" s="31"/>
      <c r="AC20" s="33">
        <v>201</v>
      </c>
      <c r="AD20" s="31">
        <v>201</v>
      </c>
      <c r="AE20" s="31">
        <v>201</v>
      </c>
      <c r="AF20" s="31"/>
      <c r="AG20" s="33">
        <v>164</v>
      </c>
      <c r="AH20" s="31">
        <v>167</v>
      </c>
      <c r="AI20" s="31"/>
      <c r="AJ20" s="33">
        <v>111</v>
      </c>
      <c r="AK20" s="31">
        <v>121</v>
      </c>
      <c r="AL20" s="31">
        <v>168</v>
      </c>
      <c r="AM20" s="31">
        <v>161</v>
      </c>
      <c r="AN20" s="31">
        <v>162</v>
      </c>
      <c r="AO20" s="31">
        <v>148</v>
      </c>
      <c r="AP20" s="31">
        <v>161</v>
      </c>
      <c r="AQ20" s="31">
        <v>169</v>
      </c>
      <c r="AR20" s="31">
        <v>157</v>
      </c>
      <c r="AS20" s="31">
        <v>77</v>
      </c>
      <c r="AT20" s="31">
        <v>77</v>
      </c>
      <c r="AU20" s="31">
        <v>128</v>
      </c>
      <c r="AV20" s="31">
        <v>53</v>
      </c>
      <c r="AW20" s="31">
        <v>101</v>
      </c>
      <c r="AX20" s="31">
        <v>152</v>
      </c>
      <c r="AY20" s="31">
        <v>144</v>
      </c>
      <c r="AZ20" s="31">
        <v>100</v>
      </c>
      <c r="BA20" s="31">
        <v>55</v>
      </c>
      <c r="BB20" s="31">
        <v>62</v>
      </c>
      <c r="BC20" s="31">
        <v>137</v>
      </c>
      <c r="BD20" s="31">
        <v>121</v>
      </c>
      <c r="BE20" s="31">
        <v>109</v>
      </c>
      <c r="BF20" s="31">
        <v>169</v>
      </c>
      <c r="BG20" s="31">
        <v>166</v>
      </c>
      <c r="BH20" s="31">
        <v>175</v>
      </c>
      <c r="BI20" s="31">
        <v>180</v>
      </c>
      <c r="BJ20" s="31">
        <v>170</v>
      </c>
      <c r="BK20" s="31">
        <v>165</v>
      </c>
      <c r="BL20" s="31">
        <v>155</v>
      </c>
    </row>
    <row r="21" spans="1:64" ht="18" customHeight="1" thickBot="1" x14ac:dyDescent="0.25">
      <c r="A21" s="31">
        <v>202</v>
      </c>
      <c r="B21" s="31">
        <v>202</v>
      </c>
      <c r="C21" s="31">
        <v>202</v>
      </c>
      <c r="D21" s="31">
        <v>202</v>
      </c>
      <c r="E21" s="31">
        <v>202</v>
      </c>
      <c r="F21" s="31">
        <v>202</v>
      </c>
      <c r="G21" s="31">
        <v>202</v>
      </c>
      <c r="H21" s="31">
        <v>202</v>
      </c>
      <c r="I21" s="31">
        <v>202</v>
      </c>
      <c r="J21" s="31">
        <v>202</v>
      </c>
      <c r="K21" s="31">
        <v>202</v>
      </c>
      <c r="L21" s="31">
        <v>197</v>
      </c>
      <c r="M21" s="31">
        <v>162</v>
      </c>
      <c r="N21" s="31">
        <v>147</v>
      </c>
      <c r="O21" s="31">
        <v>135</v>
      </c>
      <c r="P21" s="31">
        <v>129</v>
      </c>
      <c r="Q21" s="31">
        <v>117</v>
      </c>
      <c r="R21" s="31">
        <v>91</v>
      </c>
      <c r="S21" s="31">
        <v>82</v>
      </c>
      <c r="T21" s="31">
        <v>84</v>
      </c>
      <c r="U21" s="31">
        <v>97</v>
      </c>
      <c r="V21" s="31">
        <v>189</v>
      </c>
      <c r="W21" s="31">
        <v>203</v>
      </c>
      <c r="X21" s="31">
        <v>201</v>
      </c>
      <c r="Y21" s="31">
        <v>201</v>
      </c>
      <c r="Z21" s="31">
        <v>201</v>
      </c>
      <c r="AA21" s="60"/>
      <c r="AB21" s="61"/>
      <c r="AC21" s="33">
        <v>201</v>
      </c>
      <c r="AD21" s="31">
        <v>201</v>
      </c>
      <c r="AE21" s="60"/>
      <c r="AF21" s="61"/>
      <c r="AG21" s="33">
        <v>151</v>
      </c>
      <c r="AH21" s="60"/>
      <c r="AI21" s="60"/>
      <c r="AJ21" s="61"/>
      <c r="AK21" s="34">
        <v>160</v>
      </c>
      <c r="AL21" s="31">
        <v>147</v>
      </c>
      <c r="AM21" s="31">
        <v>158</v>
      </c>
      <c r="AN21" s="31">
        <v>155</v>
      </c>
      <c r="AO21" s="31">
        <v>165</v>
      </c>
      <c r="AP21" s="31">
        <v>165</v>
      </c>
      <c r="AQ21" s="31">
        <v>171</v>
      </c>
      <c r="AR21" s="31">
        <v>163</v>
      </c>
      <c r="AS21" s="31">
        <v>81</v>
      </c>
      <c r="AT21" s="31">
        <v>42</v>
      </c>
      <c r="AU21" s="31">
        <v>74</v>
      </c>
      <c r="AV21" s="31">
        <v>131</v>
      </c>
      <c r="AW21" s="31">
        <v>201</v>
      </c>
      <c r="AX21" s="31">
        <v>184</v>
      </c>
      <c r="AY21" s="31">
        <v>191</v>
      </c>
      <c r="AZ21" s="31">
        <v>167</v>
      </c>
      <c r="BA21" s="31">
        <v>117</v>
      </c>
      <c r="BB21" s="31">
        <v>85</v>
      </c>
      <c r="BC21" s="31">
        <v>100</v>
      </c>
      <c r="BD21" s="31">
        <v>50</v>
      </c>
      <c r="BE21" s="31">
        <v>105</v>
      </c>
      <c r="BF21" s="31">
        <v>160</v>
      </c>
      <c r="BG21" s="31">
        <v>174</v>
      </c>
      <c r="BH21" s="31">
        <v>173</v>
      </c>
      <c r="BI21" s="31">
        <v>175</v>
      </c>
      <c r="BJ21" s="31">
        <v>158</v>
      </c>
      <c r="BK21" s="31">
        <v>159</v>
      </c>
      <c r="BL21" s="31">
        <v>165</v>
      </c>
    </row>
    <row r="22" spans="1:64" ht="18" customHeight="1" thickTop="1" x14ac:dyDescent="0.2">
      <c r="A22" s="31">
        <v>202</v>
      </c>
      <c r="B22" s="31">
        <v>202</v>
      </c>
      <c r="C22" s="31">
        <v>202</v>
      </c>
      <c r="D22" s="31">
        <v>202</v>
      </c>
      <c r="E22" s="31">
        <v>202</v>
      </c>
      <c r="F22" s="31">
        <v>202</v>
      </c>
      <c r="G22" s="31">
        <v>202</v>
      </c>
      <c r="H22" s="31">
        <v>202</v>
      </c>
      <c r="I22" s="31">
        <v>202</v>
      </c>
      <c r="J22" s="31">
        <v>202</v>
      </c>
      <c r="K22" s="31">
        <v>203</v>
      </c>
      <c r="L22" s="31">
        <v>185</v>
      </c>
      <c r="M22" s="31">
        <v>180</v>
      </c>
      <c r="N22" s="31">
        <v>168</v>
      </c>
      <c r="O22" s="31">
        <v>139</v>
      </c>
      <c r="P22" s="31">
        <v>121</v>
      </c>
      <c r="Q22" s="31">
        <v>109</v>
      </c>
      <c r="R22" s="31">
        <v>97</v>
      </c>
      <c r="S22" s="31">
        <v>94</v>
      </c>
      <c r="T22" s="31">
        <v>94</v>
      </c>
      <c r="U22" s="31">
        <v>41</v>
      </c>
      <c r="V22" s="31">
        <v>140</v>
      </c>
      <c r="W22" s="31">
        <v>205</v>
      </c>
      <c r="X22" s="31">
        <v>201</v>
      </c>
      <c r="Y22" s="31">
        <v>201</v>
      </c>
      <c r="Z22" s="31">
        <v>201</v>
      </c>
      <c r="AA22" s="31">
        <v>201</v>
      </c>
      <c r="AB22" s="31">
        <v>201</v>
      </c>
      <c r="AC22" s="31">
        <v>201</v>
      </c>
      <c r="AD22" s="31">
        <v>201</v>
      </c>
      <c r="AE22" s="31">
        <v>200</v>
      </c>
      <c r="AF22" s="31">
        <v>201</v>
      </c>
      <c r="AG22" s="31">
        <v>125</v>
      </c>
      <c r="AH22" s="31">
        <v>92</v>
      </c>
      <c r="AI22" s="31">
        <v>118</v>
      </c>
      <c r="AJ22" s="31">
        <v>143</v>
      </c>
      <c r="AK22" s="31">
        <v>161</v>
      </c>
      <c r="AL22" s="31">
        <v>160</v>
      </c>
      <c r="AM22" s="31">
        <v>169</v>
      </c>
      <c r="AN22" s="31">
        <v>153</v>
      </c>
      <c r="AO22" s="31">
        <v>160</v>
      </c>
      <c r="AP22" s="31">
        <v>166</v>
      </c>
      <c r="AQ22" s="31">
        <v>170</v>
      </c>
      <c r="AR22" s="31">
        <v>147</v>
      </c>
      <c r="AS22" s="31">
        <v>78</v>
      </c>
      <c r="AT22" s="31">
        <v>40</v>
      </c>
      <c r="AU22" s="31">
        <v>39</v>
      </c>
      <c r="AV22" s="31">
        <v>134</v>
      </c>
      <c r="AW22" s="31">
        <v>195</v>
      </c>
      <c r="AX22" s="31">
        <v>127</v>
      </c>
      <c r="AY22" s="31">
        <v>101</v>
      </c>
      <c r="AZ22" s="31">
        <v>151</v>
      </c>
      <c r="BA22" s="31">
        <v>187</v>
      </c>
      <c r="BB22" s="31">
        <v>81</v>
      </c>
      <c r="BC22" s="31">
        <v>22</v>
      </c>
      <c r="BD22" s="31">
        <v>43</v>
      </c>
      <c r="BE22" s="31">
        <v>146</v>
      </c>
      <c r="BF22" s="31">
        <v>144</v>
      </c>
      <c r="BG22" s="31">
        <v>174</v>
      </c>
      <c r="BH22" s="31">
        <v>176</v>
      </c>
      <c r="BI22" s="31">
        <v>164</v>
      </c>
      <c r="BJ22" s="31">
        <v>154</v>
      </c>
      <c r="BK22" s="31">
        <v>154</v>
      </c>
      <c r="BL22" s="31">
        <v>159</v>
      </c>
    </row>
    <row r="23" spans="1:64" ht="18" customHeight="1" x14ac:dyDescent="0.2">
      <c r="A23" s="31">
        <v>202</v>
      </c>
      <c r="B23" s="31">
        <v>202</v>
      </c>
      <c r="C23" s="31">
        <v>202</v>
      </c>
      <c r="D23" s="31">
        <v>202</v>
      </c>
      <c r="E23" s="31">
        <v>202</v>
      </c>
      <c r="F23" s="31">
        <v>202</v>
      </c>
      <c r="G23" s="31">
        <v>202</v>
      </c>
      <c r="H23" s="31">
        <v>202</v>
      </c>
      <c r="I23" s="31">
        <v>202</v>
      </c>
      <c r="J23" s="31">
        <v>202</v>
      </c>
      <c r="K23" s="31">
        <v>205</v>
      </c>
      <c r="L23" s="31">
        <v>141</v>
      </c>
      <c r="M23" s="31">
        <v>180</v>
      </c>
      <c r="N23" s="31">
        <v>193</v>
      </c>
      <c r="O23" s="31">
        <v>190</v>
      </c>
      <c r="P23" s="31">
        <v>159</v>
      </c>
      <c r="Q23" s="31">
        <v>123</v>
      </c>
      <c r="R23" s="31">
        <v>113</v>
      </c>
      <c r="S23" s="31">
        <v>110</v>
      </c>
      <c r="T23" s="31">
        <v>94</v>
      </c>
      <c r="U23" s="31">
        <v>68</v>
      </c>
      <c r="V23" s="31">
        <v>93</v>
      </c>
      <c r="W23" s="31">
        <v>198</v>
      </c>
      <c r="X23" s="31">
        <v>202</v>
      </c>
      <c r="Y23" s="31">
        <v>201</v>
      </c>
      <c r="Z23" s="31">
        <v>201</v>
      </c>
      <c r="AA23" s="31">
        <v>201</v>
      </c>
      <c r="AB23" s="46" t="s">
        <v>37</v>
      </c>
      <c r="AC23" s="46" t="s">
        <v>23</v>
      </c>
      <c r="AD23" s="46" t="s">
        <v>36</v>
      </c>
      <c r="AE23" s="46" t="s">
        <v>14</v>
      </c>
      <c r="AF23" s="46" t="s">
        <v>35</v>
      </c>
      <c r="AG23" s="47" t="s">
        <v>37</v>
      </c>
      <c r="AH23" s="47" t="s">
        <v>38</v>
      </c>
      <c r="AI23" s="47" t="s">
        <v>4</v>
      </c>
      <c r="AJ23" s="31">
        <v>142</v>
      </c>
      <c r="AK23" s="31">
        <v>135</v>
      </c>
      <c r="AL23" s="31">
        <v>151</v>
      </c>
      <c r="AM23" s="31">
        <v>159</v>
      </c>
      <c r="AN23" s="31">
        <v>152</v>
      </c>
      <c r="AO23" s="31">
        <v>153</v>
      </c>
      <c r="AP23" s="31">
        <v>157</v>
      </c>
      <c r="AQ23" s="31">
        <v>153</v>
      </c>
      <c r="AR23" s="31">
        <v>83</v>
      </c>
      <c r="AS23" s="31">
        <v>85</v>
      </c>
      <c r="AT23" s="31">
        <v>109</v>
      </c>
      <c r="AU23" s="31">
        <v>27</v>
      </c>
      <c r="AV23" s="31">
        <v>68</v>
      </c>
      <c r="AW23" s="31">
        <v>156</v>
      </c>
      <c r="AX23" s="31">
        <v>148</v>
      </c>
      <c r="AY23" s="31">
        <v>147</v>
      </c>
      <c r="AZ23" s="31">
        <v>176</v>
      </c>
      <c r="BA23" s="31">
        <v>128</v>
      </c>
      <c r="BB23" s="31">
        <v>27</v>
      </c>
      <c r="BC23" s="31">
        <v>17</v>
      </c>
      <c r="BD23" s="31">
        <v>117</v>
      </c>
      <c r="BE23" s="31">
        <v>145</v>
      </c>
      <c r="BF23" s="31">
        <v>158</v>
      </c>
      <c r="BG23" s="31">
        <v>172</v>
      </c>
      <c r="BH23" s="31">
        <v>167</v>
      </c>
      <c r="BI23" s="31">
        <v>152</v>
      </c>
      <c r="BJ23" s="31">
        <v>153</v>
      </c>
      <c r="BK23" s="31">
        <v>138</v>
      </c>
      <c r="BL23" s="31">
        <v>86</v>
      </c>
    </row>
    <row r="24" spans="1:64" ht="18" customHeight="1" x14ac:dyDescent="0.2">
      <c r="A24" s="31">
        <v>202</v>
      </c>
      <c r="B24" s="31">
        <v>202</v>
      </c>
      <c r="C24" s="31">
        <v>202</v>
      </c>
      <c r="D24" s="31">
        <v>202</v>
      </c>
      <c r="E24" s="31">
        <v>202</v>
      </c>
      <c r="F24" s="31">
        <v>202</v>
      </c>
      <c r="G24" s="31">
        <v>202</v>
      </c>
      <c r="H24" s="31">
        <v>202</v>
      </c>
      <c r="I24" s="31">
        <v>203</v>
      </c>
      <c r="J24" s="31">
        <v>200</v>
      </c>
      <c r="K24" s="31">
        <v>186</v>
      </c>
      <c r="L24" s="31">
        <v>146</v>
      </c>
      <c r="M24" s="31">
        <v>168</v>
      </c>
      <c r="N24" s="31">
        <v>193</v>
      </c>
      <c r="O24" s="31">
        <v>193</v>
      </c>
      <c r="P24" s="31">
        <v>152</v>
      </c>
      <c r="Q24" s="31">
        <v>128</v>
      </c>
      <c r="R24" s="31">
        <v>125</v>
      </c>
      <c r="S24" s="31">
        <v>114</v>
      </c>
      <c r="T24" s="31">
        <v>87</v>
      </c>
      <c r="U24" s="31">
        <v>74</v>
      </c>
      <c r="V24" s="31">
        <v>77</v>
      </c>
      <c r="W24" s="31">
        <v>172</v>
      </c>
      <c r="X24" s="31">
        <v>205</v>
      </c>
      <c r="Y24" s="31">
        <v>202</v>
      </c>
      <c r="Z24" s="31">
        <v>201</v>
      </c>
      <c r="AA24" s="31">
        <v>201</v>
      </c>
      <c r="AB24" s="31">
        <v>201</v>
      </c>
      <c r="AC24" s="31">
        <v>201</v>
      </c>
      <c r="AD24" s="31">
        <v>201</v>
      </c>
      <c r="AE24" s="31">
        <v>201</v>
      </c>
      <c r="AF24" s="31">
        <v>201</v>
      </c>
      <c r="AG24" s="31">
        <v>67</v>
      </c>
      <c r="AH24" s="31">
        <v>77</v>
      </c>
      <c r="AI24" s="31">
        <v>124</v>
      </c>
      <c r="AJ24" s="31">
        <v>149</v>
      </c>
      <c r="AK24" s="31">
        <v>138</v>
      </c>
      <c r="AL24" s="31">
        <v>138</v>
      </c>
      <c r="AM24" s="31">
        <v>156</v>
      </c>
      <c r="AN24" s="31">
        <v>159</v>
      </c>
      <c r="AO24" s="31">
        <v>133</v>
      </c>
      <c r="AP24" s="31">
        <v>102</v>
      </c>
      <c r="AQ24" s="31">
        <v>103</v>
      </c>
      <c r="AR24" s="31">
        <v>46</v>
      </c>
      <c r="AS24" s="31">
        <v>67</v>
      </c>
      <c r="AT24" s="31">
        <v>174</v>
      </c>
      <c r="AU24" s="31">
        <v>63</v>
      </c>
      <c r="AV24" s="31">
        <v>24</v>
      </c>
      <c r="AW24" s="31">
        <v>33</v>
      </c>
      <c r="AX24" s="31">
        <v>47</v>
      </c>
      <c r="AY24" s="31">
        <v>55</v>
      </c>
      <c r="AZ24" s="31">
        <v>56</v>
      </c>
      <c r="BA24" s="31">
        <v>21</v>
      </c>
      <c r="BB24" s="31">
        <v>11</v>
      </c>
      <c r="BC24" s="31">
        <v>87</v>
      </c>
      <c r="BD24" s="31">
        <v>135</v>
      </c>
      <c r="BE24" s="31">
        <v>129</v>
      </c>
      <c r="BF24" s="31">
        <v>142</v>
      </c>
      <c r="BG24" s="31">
        <v>137</v>
      </c>
      <c r="BH24" s="31">
        <v>143</v>
      </c>
      <c r="BI24" s="31">
        <v>142</v>
      </c>
      <c r="BJ24" s="31">
        <v>145</v>
      </c>
      <c r="BK24" s="31">
        <v>92</v>
      </c>
      <c r="BL24" s="31">
        <v>55</v>
      </c>
    </row>
    <row r="25" spans="1:64" ht="18" customHeight="1" x14ac:dyDescent="0.2">
      <c r="A25" s="31">
        <v>202</v>
      </c>
      <c r="B25" s="31">
        <v>202</v>
      </c>
      <c r="C25" s="31">
        <v>202</v>
      </c>
      <c r="D25" s="31">
        <v>202</v>
      </c>
      <c r="E25" s="31">
        <v>203</v>
      </c>
      <c r="F25" s="31">
        <v>201</v>
      </c>
      <c r="G25" s="31">
        <v>197</v>
      </c>
      <c r="H25" s="31">
        <v>204</v>
      </c>
      <c r="I25" s="31">
        <v>187</v>
      </c>
      <c r="J25" s="31">
        <v>151</v>
      </c>
      <c r="K25" s="31">
        <v>148</v>
      </c>
      <c r="L25" s="31">
        <v>155</v>
      </c>
      <c r="M25" s="31">
        <v>149</v>
      </c>
      <c r="N25" s="31">
        <v>171</v>
      </c>
      <c r="O25" s="31">
        <v>180</v>
      </c>
      <c r="P25" s="31">
        <v>157</v>
      </c>
      <c r="Q25" s="31">
        <v>141</v>
      </c>
      <c r="R25" s="31">
        <v>127</v>
      </c>
      <c r="S25" s="31">
        <v>92</v>
      </c>
      <c r="T25" s="31">
        <v>76</v>
      </c>
      <c r="U25" s="31">
        <v>76</v>
      </c>
      <c r="V25" s="31">
        <v>76</v>
      </c>
      <c r="W25" s="31">
        <v>106</v>
      </c>
      <c r="X25" s="31">
        <v>162</v>
      </c>
      <c r="Y25" s="31">
        <v>197</v>
      </c>
      <c r="Z25" s="31">
        <v>203</v>
      </c>
      <c r="AA25" s="31">
        <v>201</v>
      </c>
      <c r="AB25" s="31">
        <v>201</v>
      </c>
      <c r="AC25" s="31">
        <v>201</v>
      </c>
      <c r="AD25" s="31">
        <v>201</v>
      </c>
      <c r="AE25" s="31">
        <v>201</v>
      </c>
      <c r="AF25" s="31">
        <v>201</v>
      </c>
      <c r="AG25" s="31">
        <v>128</v>
      </c>
      <c r="AH25" s="31">
        <v>105</v>
      </c>
      <c r="AI25" s="31">
        <v>135</v>
      </c>
      <c r="AJ25" s="31">
        <v>149</v>
      </c>
      <c r="AK25" s="31">
        <v>140</v>
      </c>
      <c r="AL25" s="31">
        <v>154</v>
      </c>
      <c r="AM25" s="31">
        <v>152</v>
      </c>
      <c r="AN25" s="31">
        <v>140</v>
      </c>
      <c r="AO25" s="31">
        <v>75</v>
      </c>
      <c r="AP25" s="31">
        <v>106</v>
      </c>
      <c r="AQ25" s="31">
        <v>97</v>
      </c>
      <c r="AR25" s="31">
        <v>50</v>
      </c>
      <c r="AS25" s="31">
        <v>23</v>
      </c>
      <c r="AT25" s="31">
        <v>135</v>
      </c>
      <c r="AU25" s="31">
        <v>146</v>
      </c>
      <c r="AV25" s="31">
        <v>36</v>
      </c>
      <c r="AW25" s="31">
        <v>6</v>
      </c>
      <c r="AX25" s="31">
        <v>7</v>
      </c>
      <c r="AY25" s="31">
        <v>16</v>
      </c>
      <c r="AZ25" s="31">
        <v>11</v>
      </c>
      <c r="BA25" s="31">
        <v>9</v>
      </c>
      <c r="BB25" s="31">
        <v>70</v>
      </c>
      <c r="BC25" s="31">
        <v>111</v>
      </c>
      <c r="BD25" s="31">
        <v>147</v>
      </c>
      <c r="BE25" s="31">
        <v>142</v>
      </c>
      <c r="BF25" s="31">
        <v>144</v>
      </c>
      <c r="BG25" s="31">
        <v>127</v>
      </c>
      <c r="BH25" s="31">
        <v>142</v>
      </c>
      <c r="BI25" s="31">
        <v>137</v>
      </c>
      <c r="BJ25" s="31">
        <v>128</v>
      </c>
      <c r="BK25" s="31">
        <v>65</v>
      </c>
      <c r="BL25" s="31">
        <v>62</v>
      </c>
    </row>
    <row r="26" spans="1:64" ht="18" customHeight="1" x14ac:dyDescent="0.2">
      <c r="A26" s="31">
        <v>202</v>
      </c>
      <c r="B26" s="31">
        <v>202</v>
      </c>
      <c r="C26" s="31">
        <v>202</v>
      </c>
      <c r="D26" s="31">
        <v>203</v>
      </c>
      <c r="E26" s="31">
        <v>195</v>
      </c>
      <c r="F26" s="31">
        <v>168</v>
      </c>
      <c r="G26" s="31">
        <v>155</v>
      </c>
      <c r="H26" s="31">
        <v>172</v>
      </c>
      <c r="I26" s="31">
        <v>146</v>
      </c>
      <c r="J26" s="31">
        <v>141</v>
      </c>
      <c r="K26" s="31">
        <v>146</v>
      </c>
      <c r="L26" s="31">
        <v>151</v>
      </c>
      <c r="M26" s="31">
        <v>151</v>
      </c>
      <c r="N26" s="31">
        <v>132</v>
      </c>
      <c r="O26" s="31">
        <v>142</v>
      </c>
      <c r="P26" s="31">
        <v>145</v>
      </c>
      <c r="Q26" s="31">
        <v>127</v>
      </c>
      <c r="R26" s="31">
        <v>85</v>
      </c>
      <c r="S26" s="31">
        <v>77</v>
      </c>
      <c r="T26" s="31">
        <v>78</v>
      </c>
      <c r="U26" s="31">
        <v>81</v>
      </c>
      <c r="V26" s="31">
        <v>96</v>
      </c>
      <c r="W26" s="31">
        <v>108</v>
      </c>
      <c r="X26" s="31">
        <v>115</v>
      </c>
      <c r="Y26" s="31">
        <v>156</v>
      </c>
      <c r="Z26" s="31">
        <v>191</v>
      </c>
      <c r="AA26" s="31">
        <v>202</v>
      </c>
      <c r="AB26" s="31">
        <v>202</v>
      </c>
      <c r="AC26" s="31">
        <v>201</v>
      </c>
      <c r="AD26" s="31">
        <v>201</v>
      </c>
      <c r="AE26" s="31">
        <v>200</v>
      </c>
      <c r="AF26" s="31">
        <v>200</v>
      </c>
      <c r="AG26" s="31">
        <v>194</v>
      </c>
      <c r="AH26" s="31">
        <v>137</v>
      </c>
      <c r="AI26" s="31">
        <v>169</v>
      </c>
      <c r="AJ26" s="31">
        <v>172</v>
      </c>
      <c r="AK26" s="31">
        <v>161</v>
      </c>
      <c r="AL26" s="31">
        <v>146</v>
      </c>
      <c r="AM26" s="31">
        <v>129</v>
      </c>
      <c r="AN26" s="31">
        <v>103</v>
      </c>
      <c r="AO26" s="31">
        <v>83</v>
      </c>
      <c r="AP26" s="31">
        <v>109</v>
      </c>
      <c r="AQ26" s="31">
        <v>90</v>
      </c>
      <c r="AR26" s="31">
        <v>83</v>
      </c>
      <c r="AS26" s="31">
        <v>35</v>
      </c>
      <c r="AT26" s="31">
        <v>40</v>
      </c>
      <c r="AU26" s="31">
        <v>147</v>
      </c>
      <c r="AV26" s="31">
        <v>115</v>
      </c>
      <c r="AW26" s="31">
        <v>51</v>
      </c>
      <c r="AX26" s="31">
        <v>27</v>
      </c>
      <c r="AY26" s="31">
        <v>27</v>
      </c>
      <c r="AZ26" s="31">
        <v>39</v>
      </c>
      <c r="BA26" s="31">
        <v>73</v>
      </c>
      <c r="BB26" s="31">
        <v>89</v>
      </c>
      <c r="BC26" s="31">
        <v>36</v>
      </c>
      <c r="BD26" s="31">
        <v>104</v>
      </c>
      <c r="BE26" s="31">
        <v>158</v>
      </c>
      <c r="BF26" s="31">
        <v>138</v>
      </c>
      <c r="BG26" s="31">
        <v>145</v>
      </c>
      <c r="BH26" s="31">
        <v>111</v>
      </c>
      <c r="BI26" s="31">
        <v>81</v>
      </c>
      <c r="BJ26" s="31">
        <v>80</v>
      </c>
      <c r="BK26" s="31">
        <v>44</v>
      </c>
      <c r="BL26" s="31">
        <v>71</v>
      </c>
    </row>
    <row r="27" spans="1:64" ht="18" customHeight="1" x14ac:dyDescent="0.2">
      <c r="A27" s="31">
        <v>202</v>
      </c>
      <c r="B27" s="31">
        <v>203</v>
      </c>
      <c r="C27" s="31">
        <v>203</v>
      </c>
      <c r="D27" s="31">
        <v>184</v>
      </c>
      <c r="E27" s="31">
        <v>147</v>
      </c>
      <c r="F27" s="31">
        <v>142</v>
      </c>
      <c r="G27" s="31">
        <v>145</v>
      </c>
      <c r="H27" s="31">
        <v>150</v>
      </c>
      <c r="I27" s="31">
        <v>141</v>
      </c>
      <c r="J27" s="31">
        <v>147</v>
      </c>
      <c r="K27" s="31">
        <v>140</v>
      </c>
      <c r="L27" s="31">
        <v>146</v>
      </c>
      <c r="M27" s="31">
        <v>150</v>
      </c>
      <c r="N27" s="31">
        <v>95</v>
      </c>
      <c r="O27" s="31">
        <v>120</v>
      </c>
      <c r="P27" s="31">
        <v>71</v>
      </c>
      <c r="Q27" s="31">
        <v>78</v>
      </c>
      <c r="R27" s="31">
        <v>69</v>
      </c>
      <c r="S27" s="31">
        <v>82</v>
      </c>
      <c r="T27" s="31">
        <v>89</v>
      </c>
      <c r="U27" s="31">
        <v>104</v>
      </c>
      <c r="V27" s="31">
        <v>118</v>
      </c>
      <c r="W27" s="31">
        <v>117</v>
      </c>
      <c r="X27" s="31">
        <v>119</v>
      </c>
      <c r="Y27" s="31">
        <v>124</v>
      </c>
      <c r="Z27" s="31">
        <v>128</v>
      </c>
      <c r="AA27" s="31">
        <v>146</v>
      </c>
      <c r="AB27" s="31">
        <v>190</v>
      </c>
      <c r="AC27" s="31">
        <v>203</v>
      </c>
      <c r="AD27" s="31">
        <v>201</v>
      </c>
      <c r="AE27" s="31">
        <v>200</v>
      </c>
      <c r="AF27" s="31">
        <v>200</v>
      </c>
      <c r="AG27" s="31">
        <v>206</v>
      </c>
      <c r="AH27" s="31">
        <v>179</v>
      </c>
      <c r="AI27" s="31">
        <v>161</v>
      </c>
      <c r="AJ27" s="31">
        <v>142</v>
      </c>
      <c r="AK27" s="31">
        <v>122</v>
      </c>
      <c r="AL27" s="31">
        <v>111</v>
      </c>
      <c r="AM27" s="31">
        <v>89</v>
      </c>
      <c r="AN27" s="31">
        <v>89</v>
      </c>
      <c r="AO27" s="31">
        <v>94</v>
      </c>
      <c r="AP27" s="31">
        <v>111</v>
      </c>
      <c r="AQ27" s="31">
        <v>94</v>
      </c>
      <c r="AR27" s="31">
        <v>87</v>
      </c>
      <c r="AS27" s="31">
        <v>76</v>
      </c>
      <c r="AT27" s="31">
        <v>34</v>
      </c>
      <c r="AU27" s="31">
        <v>48</v>
      </c>
      <c r="AV27" s="31">
        <v>88</v>
      </c>
      <c r="AW27" s="31">
        <v>88</v>
      </c>
      <c r="AX27" s="31">
        <v>71</v>
      </c>
      <c r="AY27" s="31">
        <v>68</v>
      </c>
      <c r="AZ27" s="31">
        <v>79</v>
      </c>
      <c r="BA27" s="31">
        <v>75</v>
      </c>
      <c r="BB27" s="31">
        <v>37</v>
      </c>
      <c r="BC27" s="31">
        <v>16</v>
      </c>
      <c r="BD27" s="31">
        <v>47</v>
      </c>
      <c r="BE27" s="31">
        <v>89</v>
      </c>
      <c r="BF27" s="31">
        <v>133</v>
      </c>
      <c r="BG27" s="31">
        <v>111</v>
      </c>
      <c r="BH27" s="31">
        <v>83</v>
      </c>
      <c r="BI27" s="31">
        <v>94</v>
      </c>
      <c r="BJ27" s="31">
        <v>85</v>
      </c>
      <c r="BK27" s="31">
        <v>37</v>
      </c>
      <c r="BL27" s="31">
        <v>61</v>
      </c>
    </row>
    <row r="28" spans="1:64" ht="18" customHeight="1" x14ac:dyDescent="0.2">
      <c r="A28" s="31">
        <v>202</v>
      </c>
      <c r="B28" s="31">
        <v>195</v>
      </c>
      <c r="C28" s="31">
        <v>178</v>
      </c>
      <c r="D28" s="31">
        <v>143</v>
      </c>
      <c r="E28" s="31">
        <v>137</v>
      </c>
      <c r="F28" s="31">
        <v>141</v>
      </c>
      <c r="G28" s="31">
        <v>144</v>
      </c>
      <c r="H28" s="31">
        <v>152</v>
      </c>
      <c r="I28" s="31">
        <v>146</v>
      </c>
      <c r="J28" s="31">
        <v>138</v>
      </c>
      <c r="K28" s="31">
        <v>139</v>
      </c>
      <c r="L28" s="31">
        <v>143</v>
      </c>
      <c r="M28" s="31">
        <v>166</v>
      </c>
      <c r="N28" s="31">
        <v>69</v>
      </c>
      <c r="O28" s="31">
        <v>78</v>
      </c>
      <c r="P28" s="31">
        <v>79</v>
      </c>
      <c r="Q28" s="31">
        <v>84</v>
      </c>
      <c r="R28" s="31">
        <v>97</v>
      </c>
      <c r="S28" s="31">
        <v>106</v>
      </c>
      <c r="T28" s="31">
        <v>112</v>
      </c>
      <c r="U28" s="31">
        <v>124</v>
      </c>
      <c r="V28" s="31">
        <v>125</v>
      </c>
      <c r="W28" s="31">
        <v>120</v>
      </c>
      <c r="X28" s="31">
        <v>116</v>
      </c>
      <c r="Y28" s="31">
        <v>120</v>
      </c>
      <c r="Z28" s="31">
        <v>123</v>
      </c>
      <c r="AA28" s="31">
        <v>119</v>
      </c>
      <c r="AB28" s="31">
        <v>132</v>
      </c>
      <c r="AC28" s="31">
        <v>159</v>
      </c>
      <c r="AD28" s="31">
        <v>197</v>
      </c>
      <c r="AE28" s="31">
        <v>202</v>
      </c>
      <c r="AF28" s="31">
        <v>200</v>
      </c>
      <c r="AG28" s="31">
        <v>158</v>
      </c>
      <c r="AH28" s="31">
        <v>144</v>
      </c>
      <c r="AI28" s="31">
        <v>130</v>
      </c>
      <c r="AJ28" s="31">
        <v>105</v>
      </c>
      <c r="AK28" s="31">
        <v>91</v>
      </c>
      <c r="AL28" s="31">
        <v>86</v>
      </c>
      <c r="AM28" s="31">
        <v>95</v>
      </c>
      <c r="AN28" s="31">
        <v>86</v>
      </c>
      <c r="AO28" s="31">
        <v>104</v>
      </c>
      <c r="AP28" s="31">
        <v>106</v>
      </c>
      <c r="AQ28" s="31">
        <v>100</v>
      </c>
      <c r="AR28" s="31">
        <v>88</v>
      </c>
      <c r="AS28" s="31">
        <v>87</v>
      </c>
      <c r="AT28" s="31">
        <v>68</v>
      </c>
      <c r="AU28" s="31">
        <v>59</v>
      </c>
      <c r="AV28" s="31">
        <v>65</v>
      </c>
      <c r="AW28" s="31">
        <v>59</v>
      </c>
      <c r="AX28" s="31">
        <v>57</v>
      </c>
      <c r="AY28" s="31">
        <v>55</v>
      </c>
      <c r="AZ28" s="31">
        <v>48</v>
      </c>
      <c r="BA28" s="31">
        <v>41</v>
      </c>
      <c r="BB28" s="31">
        <v>47</v>
      </c>
      <c r="BC28" s="31">
        <v>53</v>
      </c>
      <c r="BD28" s="31">
        <v>64</v>
      </c>
      <c r="BE28" s="31">
        <v>66</v>
      </c>
      <c r="BF28" s="31">
        <v>76</v>
      </c>
      <c r="BG28" s="31">
        <v>102</v>
      </c>
      <c r="BH28" s="31">
        <v>101</v>
      </c>
      <c r="BI28" s="31">
        <v>70</v>
      </c>
      <c r="BJ28" s="31">
        <v>58</v>
      </c>
      <c r="BK28" s="31">
        <v>54</v>
      </c>
      <c r="BL28" s="31">
        <v>38</v>
      </c>
    </row>
    <row r="29" spans="1:64" ht="18" customHeight="1" x14ac:dyDescent="0.2">
      <c r="A29" s="31">
        <v>192</v>
      </c>
      <c r="B29" s="31">
        <v>164</v>
      </c>
      <c r="C29" s="31">
        <v>148</v>
      </c>
      <c r="D29" s="31">
        <v>127</v>
      </c>
      <c r="E29" s="31">
        <v>137</v>
      </c>
      <c r="F29" s="31">
        <v>137</v>
      </c>
      <c r="G29" s="31">
        <v>141</v>
      </c>
      <c r="H29" s="31">
        <v>152</v>
      </c>
      <c r="I29" s="31">
        <v>142</v>
      </c>
      <c r="J29" s="31">
        <v>135</v>
      </c>
      <c r="K29" s="31">
        <v>143</v>
      </c>
      <c r="L29" s="31">
        <v>141</v>
      </c>
      <c r="M29" s="31">
        <v>131</v>
      </c>
      <c r="N29" s="31">
        <v>103</v>
      </c>
      <c r="O29" s="31">
        <v>120</v>
      </c>
      <c r="P29" s="31">
        <v>120</v>
      </c>
      <c r="Q29" s="31">
        <v>109</v>
      </c>
      <c r="R29" s="31">
        <v>124</v>
      </c>
      <c r="S29" s="31">
        <v>119</v>
      </c>
      <c r="T29" s="31">
        <v>123</v>
      </c>
      <c r="U29" s="31">
        <v>127</v>
      </c>
      <c r="V29" s="31">
        <v>126</v>
      </c>
      <c r="W29" s="31">
        <v>119</v>
      </c>
      <c r="X29" s="31">
        <v>116</v>
      </c>
      <c r="Y29" s="31">
        <v>126</v>
      </c>
      <c r="Z29" s="31">
        <v>126</v>
      </c>
      <c r="AA29" s="31">
        <v>124</v>
      </c>
      <c r="AB29" s="31">
        <v>124</v>
      </c>
      <c r="AC29" s="31">
        <v>124</v>
      </c>
      <c r="AD29" s="31">
        <v>136</v>
      </c>
      <c r="AE29" s="31">
        <v>193</v>
      </c>
      <c r="AF29" s="31">
        <v>204</v>
      </c>
      <c r="AG29" s="31">
        <v>123</v>
      </c>
      <c r="AH29" s="31">
        <v>114</v>
      </c>
      <c r="AI29" s="31">
        <v>109</v>
      </c>
      <c r="AJ29" s="31">
        <v>91</v>
      </c>
      <c r="AK29" s="31">
        <v>84</v>
      </c>
      <c r="AL29" s="31">
        <v>72</v>
      </c>
      <c r="AM29" s="31">
        <v>103</v>
      </c>
      <c r="AN29" s="31">
        <v>87</v>
      </c>
      <c r="AO29" s="31">
        <v>107</v>
      </c>
      <c r="AP29" s="31">
        <v>105</v>
      </c>
      <c r="AQ29" s="31">
        <v>100</v>
      </c>
      <c r="AR29" s="31">
        <v>86</v>
      </c>
      <c r="AS29" s="31">
        <v>92</v>
      </c>
      <c r="AT29" s="31">
        <v>77</v>
      </c>
      <c r="AU29" s="31">
        <v>81</v>
      </c>
      <c r="AV29" s="31">
        <v>96</v>
      </c>
      <c r="AW29" s="31">
        <v>75</v>
      </c>
      <c r="AX29" s="31">
        <v>54</v>
      </c>
      <c r="AY29" s="31">
        <v>55</v>
      </c>
      <c r="AZ29" s="31">
        <v>57</v>
      </c>
      <c r="BA29" s="31">
        <v>61</v>
      </c>
      <c r="BB29" s="31">
        <v>60</v>
      </c>
      <c r="BC29" s="31">
        <v>78</v>
      </c>
      <c r="BD29" s="31">
        <v>55</v>
      </c>
      <c r="BE29" s="31">
        <v>67</v>
      </c>
      <c r="BF29" s="31">
        <v>69</v>
      </c>
      <c r="BG29" s="31">
        <v>66</v>
      </c>
      <c r="BH29" s="31">
        <v>89</v>
      </c>
      <c r="BI29" s="31">
        <v>50</v>
      </c>
      <c r="BJ29" s="31">
        <v>32</v>
      </c>
      <c r="BK29" s="31">
        <v>57</v>
      </c>
      <c r="BL29" s="31">
        <v>32</v>
      </c>
    </row>
    <row r="30" spans="1:64" ht="18" customHeight="1" x14ac:dyDescent="0.2">
      <c r="A30" s="31">
        <v>168</v>
      </c>
      <c r="B30" s="31">
        <v>148</v>
      </c>
      <c r="C30" s="31">
        <v>138</v>
      </c>
      <c r="D30" s="31">
        <v>122</v>
      </c>
      <c r="E30" s="31">
        <v>136</v>
      </c>
      <c r="F30" s="31">
        <v>133</v>
      </c>
      <c r="G30" s="31">
        <v>139</v>
      </c>
      <c r="H30" s="31">
        <v>153</v>
      </c>
      <c r="I30" s="31">
        <v>139</v>
      </c>
      <c r="J30" s="31">
        <v>138</v>
      </c>
      <c r="K30" s="31">
        <v>144</v>
      </c>
      <c r="L30" s="31">
        <v>138</v>
      </c>
      <c r="M30" s="31">
        <v>124</v>
      </c>
      <c r="N30" s="31">
        <v>131</v>
      </c>
      <c r="O30" s="31">
        <v>129</v>
      </c>
      <c r="P30" s="31">
        <v>122</v>
      </c>
      <c r="Q30" s="31">
        <v>113</v>
      </c>
      <c r="R30" s="31">
        <v>115</v>
      </c>
      <c r="S30" s="31">
        <v>123</v>
      </c>
      <c r="T30" s="31">
        <v>124</v>
      </c>
      <c r="U30" s="31">
        <v>129</v>
      </c>
      <c r="V30" s="31">
        <v>130</v>
      </c>
      <c r="W30" s="31">
        <v>117</v>
      </c>
      <c r="X30" s="31">
        <v>119</v>
      </c>
      <c r="Y30" s="31">
        <v>128</v>
      </c>
      <c r="Z30" s="31">
        <v>127</v>
      </c>
      <c r="AA30" s="31">
        <v>119</v>
      </c>
      <c r="AB30" s="31">
        <v>126</v>
      </c>
      <c r="AC30" s="31">
        <v>123</v>
      </c>
      <c r="AD30" s="31">
        <v>114</v>
      </c>
      <c r="AE30" s="31">
        <v>127</v>
      </c>
      <c r="AF30" s="31">
        <v>173</v>
      </c>
      <c r="AG30" s="31">
        <v>116</v>
      </c>
      <c r="AH30" s="31">
        <v>98</v>
      </c>
      <c r="AI30" s="31">
        <v>98</v>
      </c>
      <c r="AJ30" s="31">
        <v>90</v>
      </c>
      <c r="AK30" s="31">
        <v>80</v>
      </c>
      <c r="AL30" s="31">
        <v>80</v>
      </c>
      <c r="AM30" s="31">
        <v>105</v>
      </c>
      <c r="AN30" s="31">
        <v>86</v>
      </c>
      <c r="AO30" s="31">
        <v>115</v>
      </c>
      <c r="AP30" s="31">
        <v>97</v>
      </c>
      <c r="AQ30" s="31">
        <v>99</v>
      </c>
      <c r="AR30" s="31">
        <v>86</v>
      </c>
      <c r="AS30" s="31">
        <v>95</v>
      </c>
      <c r="AT30" s="31">
        <v>82</v>
      </c>
      <c r="AU30" s="31">
        <v>86</v>
      </c>
      <c r="AV30" s="31">
        <v>99</v>
      </c>
      <c r="AW30" s="31">
        <v>93</v>
      </c>
      <c r="AX30" s="31">
        <v>69</v>
      </c>
      <c r="AY30" s="31">
        <v>73</v>
      </c>
      <c r="AZ30" s="31">
        <v>73</v>
      </c>
      <c r="BA30" s="31">
        <v>70</v>
      </c>
      <c r="BB30" s="31">
        <v>68</v>
      </c>
      <c r="BC30" s="31">
        <v>89</v>
      </c>
      <c r="BD30" s="31">
        <v>65</v>
      </c>
      <c r="BE30" s="31">
        <v>69</v>
      </c>
      <c r="BF30" s="31">
        <v>64</v>
      </c>
      <c r="BG30" s="31">
        <v>58</v>
      </c>
      <c r="BH30" s="31">
        <v>49</v>
      </c>
      <c r="BI30" s="31">
        <v>40</v>
      </c>
      <c r="BJ30" s="31">
        <v>37</v>
      </c>
      <c r="BK30" s="31">
        <v>44</v>
      </c>
      <c r="BL30" s="31">
        <v>45</v>
      </c>
    </row>
    <row r="31" spans="1:64" ht="18" customHeight="1" x14ac:dyDescent="0.2">
      <c r="A31" s="31">
        <v>154</v>
      </c>
      <c r="B31" s="31">
        <v>142</v>
      </c>
      <c r="C31" s="31">
        <v>133</v>
      </c>
      <c r="D31" s="31">
        <v>121</v>
      </c>
      <c r="E31" s="31">
        <v>135</v>
      </c>
      <c r="F31" s="31">
        <v>131</v>
      </c>
      <c r="G31" s="31">
        <v>142</v>
      </c>
      <c r="H31" s="31">
        <v>152</v>
      </c>
      <c r="I31" s="31">
        <v>136</v>
      </c>
      <c r="J31" s="31">
        <v>137</v>
      </c>
      <c r="K31" s="31">
        <v>142</v>
      </c>
      <c r="L31" s="31">
        <v>140</v>
      </c>
      <c r="M31" s="31">
        <v>136</v>
      </c>
      <c r="N31" s="31">
        <v>134</v>
      </c>
      <c r="O31" s="31">
        <v>123</v>
      </c>
      <c r="P31" s="31">
        <v>116</v>
      </c>
      <c r="Q31" s="31">
        <v>123</v>
      </c>
      <c r="R31" s="31">
        <v>140</v>
      </c>
      <c r="S31" s="31">
        <v>128</v>
      </c>
      <c r="T31" s="31">
        <v>126</v>
      </c>
      <c r="U31" s="31">
        <v>131</v>
      </c>
      <c r="V31" s="31">
        <v>130</v>
      </c>
      <c r="W31" s="31">
        <v>115</v>
      </c>
      <c r="X31" s="31">
        <v>121</v>
      </c>
      <c r="Y31" s="31">
        <v>128</v>
      </c>
      <c r="Z31" s="31">
        <v>125</v>
      </c>
      <c r="AA31" s="31">
        <v>121</v>
      </c>
      <c r="AB31" s="31">
        <v>111</v>
      </c>
      <c r="AC31" s="31">
        <v>120</v>
      </c>
      <c r="AD31" s="31">
        <v>109</v>
      </c>
      <c r="AE31" s="31">
        <v>104</v>
      </c>
      <c r="AF31" s="31">
        <v>102</v>
      </c>
      <c r="AG31" s="31">
        <v>108</v>
      </c>
      <c r="AH31" s="31">
        <v>94</v>
      </c>
      <c r="AI31" s="31">
        <v>88</v>
      </c>
      <c r="AJ31" s="31">
        <v>87</v>
      </c>
      <c r="AK31" s="31">
        <v>78</v>
      </c>
      <c r="AL31" s="31">
        <v>92</v>
      </c>
      <c r="AM31" s="31">
        <v>89</v>
      </c>
      <c r="AN31" s="31">
        <v>92</v>
      </c>
      <c r="AO31" s="31">
        <v>111</v>
      </c>
      <c r="AP31" s="31">
        <v>86</v>
      </c>
      <c r="AQ31" s="31">
        <v>104</v>
      </c>
      <c r="AR31" s="31">
        <v>86</v>
      </c>
      <c r="AS31" s="31">
        <v>95</v>
      </c>
      <c r="AT31" s="31">
        <v>89</v>
      </c>
      <c r="AU31" s="31">
        <v>88</v>
      </c>
      <c r="AV31" s="31">
        <v>106</v>
      </c>
      <c r="AW31" s="31">
        <v>104</v>
      </c>
      <c r="AX31" s="31">
        <v>76</v>
      </c>
      <c r="AY31" s="31">
        <v>79</v>
      </c>
      <c r="AZ31" s="31">
        <v>79</v>
      </c>
      <c r="BA31" s="31">
        <v>75</v>
      </c>
      <c r="BB31" s="31">
        <v>77</v>
      </c>
      <c r="BC31" s="31">
        <v>101</v>
      </c>
      <c r="BD31" s="31">
        <v>70</v>
      </c>
      <c r="BE31" s="31">
        <v>70</v>
      </c>
      <c r="BF31" s="31">
        <v>64</v>
      </c>
      <c r="BG31" s="31">
        <v>57</v>
      </c>
      <c r="BH31" s="31">
        <v>49</v>
      </c>
      <c r="BI31" s="31">
        <v>48</v>
      </c>
      <c r="BJ31" s="31">
        <v>48</v>
      </c>
      <c r="BK31" s="31">
        <v>23</v>
      </c>
      <c r="BL31" s="31">
        <v>49</v>
      </c>
    </row>
    <row r="32" spans="1:64" ht="18" customHeight="1" x14ac:dyDescent="0.2">
      <c r="A32" s="31">
        <v>150</v>
      </c>
      <c r="B32" s="31">
        <v>135</v>
      </c>
      <c r="C32" s="31">
        <v>129</v>
      </c>
      <c r="D32" s="31">
        <v>122</v>
      </c>
      <c r="E32" s="31">
        <v>134</v>
      </c>
      <c r="F32" s="31">
        <v>133</v>
      </c>
      <c r="G32" s="31">
        <v>145</v>
      </c>
      <c r="H32" s="31">
        <v>149</v>
      </c>
      <c r="I32" s="31">
        <v>134</v>
      </c>
      <c r="J32" s="31">
        <v>137</v>
      </c>
      <c r="K32" s="31">
        <v>140</v>
      </c>
      <c r="L32" s="31">
        <v>140</v>
      </c>
      <c r="M32" s="31">
        <v>137</v>
      </c>
      <c r="N32" s="31">
        <v>136</v>
      </c>
      <c r="O32" s="31">
        <v>167</v>
      </c>
      <c r="P32" s="31">
        <v>126</v>
      </c>
      <c r="Q32" s="31">
        <v>138</v>
      </c>
      <c r="R32" s="31">
        <v>135</v>
      </c>
      <c r="S32" s="31">
        <v>125</v>
      </c>
      <c r="T32" s="31">
        <v>129</v>
      </c>
      <c r="U32" s="31">
        <v>136</v>
      </c>
      <c r="V32" s="31">
        <v>130</v>
      </c>
      <c r="W32" s="31">
        <v>116</v>
      </c>
      <c r="X32" s="31">
        <v>122</v>
      </c>
      <c r="Y32" s="31">
        <v>125</v>
      </c>
      <c r="Z32" s="31">
        <v>123</v>
      </c>
      <c r="AA32" s="31">
        <v>114</v>
      </c>
      <c r="AB32" s="31">
        <v>103</v>
      </c>
      <c r="AC32" s="31">
        <v>118</v>
      </c>
      <c r="AD32" s="31">
        <v>102</v>
      </c>
      <c r="AE32" s="31">
        <v>100</v>
      </c>
      <c r="AF32" s="31">
        <v>92</v>
      </c>
      <c r="AG32" s="31">
        <v>108</v>
      </c>
      <c r="AH32" s="31">
        <v>87</v>
      </c>
      <c r="AI32" s="31">
        <v>77</v>
      </c>
      <c r="AJ32" s="31">
        <v>78</v>
      </c>
      <c r="AK32" s="31">
        <v>90</v>
      </c>
      <c r="AL32" s="31">
        <v>85</v>
      </c>
      <c r="AM32" s="31">
        <v>82</v>
      </c>
      <c r="AN32" s="31">
        <v>95</v>
      </c>
      <c r="AO32" s="31">
        <v>94</v>
      </c>
      <c r="AP32" s="31">
        <v>89</v>
      </c>
      <c r="AQ32" s="31">
        <v>101</v>
      </c>
      <c r="AR32" s="31">
        <v>89</v>
      </c>
      <c r="AS32" s="31">
        <v>95</v>
      </c>
      <c r="AT32" s="31">
        <v>94</v>
      </c>
      <c r="AU32" s="31">
        <v>91</v>
      </c>
      <c r="AV32" s="31">
        <v>111</v>
      </c>
      <c r="AW32" s="31">
        <v>111</v>
      </c>
      <c r="AX32" s="31">
        <v>80</v>
      </c>
      <c r="AY32" s="31">
        <v>84</v>
      </c>
      <c r="AZ32" s="31">
        <v>81</v>
      </c>
      <c r="BA32" s="31">
        <v>79</v>
      </c>
      <c r="BB32" s="31">
        <v>79</v>
      </c>
      <c r="BC32" s="31">
        <v>108</v>
      </c>
      <c r="BD32" s="31">
        <v>83</v>
      </c>
      <c r="BE32" s="31">
        <v>76</v>
      </c>
      <c r="BF32" s="31">
        <v>63</v>
      </c>
      <c r="BG32" s="31">
        <v>58</v>
      </c>
      <c r="BH32" s="31">
        <v>46</v>
      </c>
      <c r="BI32" s="31">
        <v>61</v>
      </c>
      <c r="BJ32" s="31">
        <v>65</v>
      </c>
      <c r="BK32" s="31">
        <v>49</v>
      </c>
      <c r="BL32" s="31">
        <v>19</v>
      </c>
    </row>
    <row r="33" spans="20:64" ht="18" customHeight="1" x14ac:dyDescent="0.2">
      <c r="AF33" s="31"/>
      <c r="AG33" s="118"/>
      <c r="AH33" s="117"/>
      <c r="AI33" s="117"/>
      <c r="AJ33" s="117"/>
      <c r="BA33" s="117"/>
      <c r="BB33" s="117"/>
      <c r="BC33" s="117"/>
      <c r="BD33" s="117"/>
      <c r="BE33" s="117"/>
      <c r="BF33" s="117"/>
      <c r="BG33" s="117"/>
      <c r="BH33" s="117"/>
      <c r="BI33" s="117"/>
      <c r="BJ33" s="117"/>
      <c r="BK33" s="117"/>
      <c r="BL33" s="117"/>
    </row>
    <row r="34" spans="20:64" ht="18" customHeight="1" x14ac:dyDescent="0.2">
      <c r="T34" s="119"/>
      <c r="U34" s="119"/>
      <c r="V34" s="119"/>
      <c r="W34" s="119"/>
      <c r="X34" s="126" t="s">
        <v>22</v>
      </c>
      <c r="Y34" s="126" t="s">
        <v>68</v>
      </c>
      <c r="Z34" s="126" t="s">
        <v>77</v>
      </c>
      <c r="AA34" s="126"/>
      <c r="AB34" s="126" t="s">
        <v>30</v>
      </c>
      <c r="AC34" s="126" t="s">
        <v>57</v>
      </c>
      <c r="AD34" s="126" t="s">
        <v>69</v>
      </c>
      <c r="AE34" s="127"/>
      <c r="AF34" s="128"/>
      <c r="AG34" s="128"/>
      <c r="AH34" s="128"/>
      <c r="AI34" s="126" t="s">
        <v>73</v>
      </c>
      <c r="AJ34" s="126" t="s">
        <v>75</v>
      </c>
      <c r="AK34" s="126" t="s">
        <v>1</v>
      </c>
      <c r="AL34" s="126" t="s">
        <v>56</v>
      </c>
      <c r="AM34" s="126" t="s">
        <v>78</v>
      </c>
      <c r="AN34" s="126" t="s">
        <v>58</v>
      </c>
      <c r="AO34" s="127"/>
      <c r="AP34" s="119"/>
      <c r="AQ34" s="119"/>
      <c r="AR34" s="119"/>
      <c r="AS34" s="119"/>
      <c r="AT34" s="119"/>
      <c r="AU34" s="119"/>
      <c r="AV34" s="119"/>
    </row>
    <row r="35" spans="20:64" ht="18" customHeight="1" x14ac:dyDescent="0.2">
      <c r="T35" s="119"/>
      <c r="U35" s="119"/>
      <c r="V35" s="119"/>
      <c r="W35" s="119"/>
      <c r="X35" s="119"/>
      <c r="Y35" s="119"/>
      <c r="Z35" s="119"/>
      <c r="AA35" s="119"/>
      <c r="AB35" s="119"/>
      <c r="AC35" s="119"/>
      <c r="AD35" s="119"/>
      <c r="AE35" s="119"/>
      <c r="AF35" s="120"/>
      <c r="AG35" s="120"/>
      <c r="AH35" s="119"/>
      <c r="AI35" s="119"/>
      <c r="AJ35" s="119"/>
      <c r="AK35" s="119"/>
      <c r="AL35" s="119"/>
      <c r="AM35" s="119"/>
      <c r="AN35" s="119"/>
      <c r="AO35" s="119"/>
      <c r="AP35" s="119"/>
      <c r="AQ35" s="119"/>
      <c r="AR35" s="119"/>
      <c r="AS35" s="119"/>
      <c r="AT35" s="119"/>
      <c r="AU35" s="119"/>
      <c r="AV35" s="119"/>
    </row>
    <row r="36" spans="20:64" ht="18" customHeight="1" x14ac:dyDescent="0.2">
      <c r="T36" s="119"/>
      <c r="U36" s="119"/>
      <c r="V36" s="119"/>
      <c r="W36" s="119"/>
      <c r="X36" s="121" t="s">
        <v>14</v>
      </c>
      <c r="Y36" s="121" t="s">
        <v>31</v>
      </c>
      <c r="Z36" s="121"/>
      <c r="AA36" s="121" t="s">
        <v>51</v>
      </c>
      <c r="AB36" s="121" t="s">
        <v>52</v>
      </c>
      <c r="AC36" s="121" t="s">
        <v>38</v>
      </c>
      <c r="AD36" s="121" t="s">
        <v>32</v>
      </c>
      <c r="AE36" s="119"/>
      <c r="AF36" s="120"/>
      <c r="AG36" s="120"/>
      <c r="AH36" s="120"/>
      <c r="AI36" s="121" t="s">
        <v>51</v>
      </c>
      <c r="AJ36" s="121" t="s">
        <v>69</v>
      </c>
      <c r="AK36" s="121" t="s">
        <v>27</v>
      </c>
      <c r="AL36" s="122"/>
      <c r="AM36" s="121" t="s">
        <v>31</v>
      </c>
      <c r="AN36" s="121" t="s">
        <v>22</v>
      </c>
      <c r="AO36" s="121" t="s">
        <v>53</v>
      </c>
      <c r="AP36" s="121" t="s">
        <v>27</v>
      </c>
      <c r="AQ36" s="121" t="s">
        <v>28</v>
      </c>
      <c r="AR36" s="121" t="s">
        <v>33</v>
      </c>
      <c r="AS36" s="121" t="s">
        <v>22</v>
      </c>
      <c r="AT36" s="119"/>
      <c r="AU36" s="119"/>
      <c r="AV36" s="119"/>
    </row>
    <row r="37" spans="20:64" ht="18" customHeight="1" x14ac:dyDescent="0.2">
      <c r="T37" s="119"/>
      <c r="U37" s="119"/>
      <c r="V37" s="119"/>
      <c r="W37" s="119"/>
      <c r="X37" s="119"/>
      <c r="Y37" s="119"/>
      <c r="Z37" s="119"/>
      <c r="AA37" s="119"/>
      <c r="AB37" s="119"/>
      <c r="AC37" s="119"/>
      <c r="AD37" s="119"/>
      <c r="AE37" s="119"/>
      <c r="AF37" s="120"/>
      <c r="AG37" s="120"/>
      <c r="AH37" s="120"/>
      <c r="AI37" s="119"/>
      <c r="AJ37" s="119"/>
      <c r="AK37" s="119"/>
      <c r="AL37" s="119"/>
      <c r="AM37" s="119"/>
      <c r="AN37" s="119"/>
      <c r="AO37" s="119"/>
      <c r="AP37" s="119"/>
      <c r="AQ37" s="119"/>
      <c r="AR37" s="119"/>
      <c r="AS37" s="119"/>
      <c r="AT37" s="119"/>
      <c r="AU37" s="119"/>
      <c r="AV37" s="119"/>
    </row>
    <row r="38" spans="20:64" ht="18" customHeight="1" x14ac:dyDescent="0.2">
      <c r="T38" s="119"/>
      <c r="U38" s="123" t="s">
        <v>14</v>
      </c>
      <c r="V38" s="123" t="s">
        <v>53</v>
      </c>
      <c r="W38" s="122"/>
      <c r="X38" s="123" t="s">
        <v>37</v>
      </c>
      <c r="Y38" s="123" t="s">
        <v>38</v>
      </c>
      <c r="Z38" s="123" t="s">
        <v>53</v>
      </c>
      <c r="AA38" s="123" t="s">
        <v>23</v>
      </c>
      <c r="AB38" s="123" t="s">
        <v>27</v>
      </c>
      <c r="AC38" s="123" t="s">
        <v>28</v>
      </c>
      <c r="AD38" s="123" t="s">
        <v>52</v>
      </c>
      <c r="AE38" s="119"/>
      <c r="AF38" s="120"/>
      <c r="AG38" s="120"/>
      <c r="AH38" s="120"/>
      <c r="AI38" s="123" t="s">
        <v>14</v>
      </c>
      <c r="AJ38" s="123" t="s">
        <v>53</v>
      </c>
      <c r="AK38" s="122"/>
      <c r="AL38" s="123" t="s">
        <v>37</v>
      </c>
      <c r="AM38" s="123" t="s">
        <v>38</v>
      </c>
      <c r="AN38" s="123" t="s">
        <v>53</v>
      </c>
      <c r="AO38" s="123" t="s">
        <v>23</v>
      </c>
      <c r="AP38" s="123" t="s">
        <v>27</v>
      </c>
      <c r="AQ38" s="123" t="s">
        <v>28</v>
      </c>
      <c r="AR38" s="123" t="s">
        <v>52</v>
      </c>
      <c r="AS38" s="119"/>
      <c r="AT38" s="119"/>
      <c r="AU38" s="119"/>
      <c r="AV38" s="119"/>
    </row>
    <row r="39" spans="20:64" ht="18" customHeight="1" x14ac:dyDescent="0.2">
      <c r="T39" s="119"/>
      <c r="U39" s="119"/>
      <c r="V39" s="119"/>
      <c r="W39" s="119"/>
      <c r="X39" s="119"/>
      <c r="Y39" s="119"/>
      <c r="Z39" s="119"/>
      <c r="AA39" s="119"/>
      <c r="AB39" s="119"/>
      <c r="AC39" s="119"/>
      <c r="AD39" s="119"/>
      <c r="AE39" s="120"/>
      <c r="AF39" s="120"/>
      <c r="AG39" s="120"/>
      <c r="AH39" s="120"/>
      <c r="AI39" s="120"/>
      <c r="AJ39" s="120"/>
      <c r="AK39" s="120"/>
      <c r="AL39" s="120"/>
      <c r="AM39" s="120"/>
      <c r="AN39" s="119"/>
      <c r="AO39" s="119"/>
      <c r="AP39" s="119"/>
      <c r="AQ39" s="119"/>
      <c r="AR39" s="119"/>
      <c r="AS39" s="119"/>
      <c r="AT39" s="119"/>
      <c r="AU39" s="119"/>
      <c r="AV39" s="119"/>
    </row>
    <row r="40" spans="20:64" ht="18" customHeight="1" x14ac:dyDescent="0.2">
      <c r="T40" s="119"/>
      <c r="U40" s="123" t="s">
        <v>36</v>
      </c>
      <c r="V40" s="123" t="s">
        <v>15</v>
      </c>
      <c r="W40" s="124" t="s">
        <v>76</v>
      </c>
      <c r="X40" s="123" t="s">
        <v>37</v>
      </c>
      <c r="Y40" s="123" t="s">
        <v>30</v>
      </c>
      <c r="Z40" s="125" t="s">
        <v>76</v>
      </c>
      <c r="AA40" s="123" t="s">
        <v>74</v>
      </c>
      <c r="AB40" s="123" t="s">
        <v>36</v>
      </c>
      <c r="AC40" s="123" t="s">
        <v>33</v>
      </c>
      <c r="AD40" s="123" t="s">
        <v>27</v>
      </c>
      <c r="AE40" s="120"/>
      <c r="AF40" s="120"/>
      <c r="AG40" s="120"/>
      <c r="AH40" s="120"/>
      <c r="AI40" s="123" t="s">
        <v>36</v>
      </c>
      <c r="AJ40" s="123" t="s">
        <v>15</v>
      </c>
      <c r="AK40" s="122" t="s">
        <v>97</v>
      </c>
      <c r="AL40" s="123" t="s">
        <v>4</v>
      </c>
      <c r="AM40" s="123" t="s">
        <v>36</v>
      </c>
      <c r="AN40" s="123" t="s">
        <v>15</v>
      </c>
      <c r="AO40" s="123" t="s">
        <v>97</v>
      </c>
      <c r="AP40" s="123" t="s">
        <v>96</v>
      </c>
      <c r="AQ40" s="123" t="s">
        <v>15</v>
      </c>
      <c r="AR40" s="123" t="s">
        <v>31</v>
      </c>
      <c r="AS40" s="119"/>
      <c r="AT40" s="119"/>
      <c r="AU40" s="119"/>
      <c r="AV40" s="119"/>
    </row>
    <row r="41" spans="20:64" ht="18" customHeight="1" x14ac:dyDescent="0.2">
      <c r="T41" s="119"/>
      <c r="U41" s="119"/>
      <c r="V41" s="119"/>
      <c r="W41" s="119"/>
      <c r="X41" s="119"/>
      <c r="Y41" s="119"/>
      <c r="Z41" s="119"/>
      <c r="AA41" s="119"/>
      <c r="AB41" s="120"/>
      <c r="AC41" s="120"/>
      <c r="AD41" s="120"/>
      <c r="AE41" s="120"/>
      <c r="AF41" s="120"/>
      <c r="AG41" s="120"/>
      <c r="AH41" s="120"/>
      <c r="AI41" s="120"/>
      <c r="AJ41" s="120"/>
      <c r="AK41" s="120"/>
      <c r="AL41" s="120"/>
      <c r="AM41" s="120"/>
      <c r="AN41" s="119"/>
      <c r="AO41" s="119"/>
      <c r="AP41" s="119"/>
      <c r="AQ41" s="119"/>
      <c r="AR41" s="119"/>
      <c r="AS41" s="119"/>
      <c r="AT41" s="119"/>
      <c r="AU41" s="119"/>
      <c r="AV41" s="119"/>
    </row>
    <row r="42" spans="20:64" ht="18" customHeight="1" x14ac:dyDescent="0.2">
      <c r="T42" s="119"/>
      <c r="U42" s="119"/>
      <c r="V42" s="119"/>
      <c r="W42" s="119"/>
      <c r="X42" s="119"/>
      <c r="Y42" s="119"/>
      <c r="Z42" s="119"/>
      <c r="AA42" s="119"/>
      <c r="AB42" s="120"/>
      <c r="AC42" s="120"/>
      <c r="AD42" s="120"/>
      <c r="AE42" s="120"/>
      <c r="AF42" s="120"/>
      <c r="AG42" s="120"/>
      <c r="AH42" s="120"/>
      <c r="AI42" s="120"/>
      <c r="AJ42" s="120"/>
      <c r="AK42" s="120"/>
      <c r="AL42" s="120"/>
      <c r="AM42" s="120"/>
      <c r="AN42" s="119"/>
      <c r="AO42" s="119"/>
      <c r="AP42" s="119"/>
      <c r="AQ42" s="119"/>
      <c r="AR42" s="119"/>
      <c r="AS42" s="119"/>
      <c r="AT42" s="119"/>
      <c r="AU42" s="119"/>
      <c r="AV42" s="119"/>
    </row>
    <row r="43" spans="20:64" ht="18" customHeight="1" x14ac:dyDescent="0.2">
      <c r="T43" s="119"/>
      <c r="U43" s="119"/>
      <c r="V43" s="119"/>
      <c r="W43" s="119"/>
      <c r="X43" s="119"/>
      <c r="Y43" s="119"/>
      <c r="Z43" s="119"/>
      <c r="AA43" s="119"/>
      <c r="AB43" s="120"/>
      <c r="AC43" s="120"/>
      <c r="AD43" s="120"/>
      <c r="AE43" s="120"/>
      <c r="AF43" s="120"/>
      <c r="AG43" s="120"/>
      <c r="AH43" s="120"/>
      <c r="AI43" s="120"/>
      <c r="AJ43" s="120"/>
      <c r="AK43" s="120"/>
      <c r="AL43" s="120"/>
      <c r="AM43" s="120"/>
      <c r="AN43" s="119"/>
      <c r="AO43" s="119"/>
      <c r="AP43" s="119"/>
      <c r="AQ43" s="119"/>
      <c r="AR43" s="119"/>
      <c r="AS43" s="119"/>
      <c r="AT43" s="119"/>
      <c r="AU43" s="119"/>
      <c r="AV43" s="119"/>
    </row>
    <row r="44" spans="20:64" ht="18" customHeight="1" x14ac:dyDescent="0.2">
      <c r="AB44" s="31"/>
      <c r="AC44" s="31"/>
      <c r="AJ44" s="31"/>
      <c r="AK44" s="31"/>
      <c r="AL44" s="31"/>
      <c r="AM44" s="31"/>
    </row>
    <row r="45" spans="20:64" ht="18" customHeight="1" x14ac:dyDescent="0.2">
      <c r="W45" s="155"/>
      <c r="X45" s="155"/>
      <c r="Y45" s="155"/>
      <c r="Z45" s="155"/>
      <c r="AA45" s="155"/>
      <c r="AB45" s="156"/>
      <c r="AC45" s="156"/>
      <c r="AD45" s="155"/>
      <c r="AE45" s="155"/>
      <c r="AF45" s="155"/>
      <c r="AG45" s="155"/>
      <c r="AH45" s="155"/>
      <c r="AI45" s="155"/>
      <c r="AJ45" s="155"/>
      <c r="AK45" s="155"/>
      <c r="AL45" s="156"/>
      <c r="AM45" s="156"/>
      <c r="AN45" s="155"/>
      <c r="AO45" s="155"/>
      <c r="AP45" s="155"/>
      <c r="AQ45" s="155"/>
      <c r="AR45" s="155"/>
    </row>
    <row r="47" spans="20:64" ht="18" customHeight="1" x14ac:dyDescent="0.2">
      <c r="AE47" s="157" t="s">
        <v>109</v>
      </c>
      <c r="AG47" s="153"/>
      <c r="AH47" s="153"/>
      <c r="AI47" s="153"/>
      <c r="AJ47" s="153"/>
      <c r="AK47" s="153"/>
    </row>
    <row r="48" spans="20:64" ht="18" customHeight="1" x14ac:dyDescent="0.2">
      <c r="AE48" s="174"/>
      <c r="AF48" s="154" t="s">
        <v>106</v>
      </c>
      <c r="AG48" s="153"/>
      <c r="AH48" s="153"/>
      <c r="AI48" s="153"/>
      <c r="AJ48" s="153"/>
      <c r="AK48" s="153"/>
    </row>
    <row r="49" spans="31:37" ht="18" customHeight="1" x14ac:dyDescent="0.2">
      <c r="AE49" s="174"/>
      <c r="AF49" s="154" t="s">
        <v>125</v>
      </c>
      <c r="AG49" s="2"/>
      <c r="AH49" s="2"/>
      <c r="AI49" s="2"/>
      <c r="AJ49" s="2"/>
      <c r="AK49" s="2"/>
    </row>
    <row r="50" spans="31:37" ht="18" customHeight="1" x14ac:dyDescent="0.2">
      <c r="AE50" s="174"/>
      <c r="AF50" s="154" t="s">
        <v>107</v>
      </c>
      <c r="AG50" s="2"/>
      <c r="AH50" s="2"/>
      <c r="AI50" s="2"/>
      <c r="AJ50" s="2"/>
      <c r="AK50" s="2"/>
    </row>
    <row r="51" spans="31:37" ht="18" customHeight="1" x14ac:dyDescent="0.2">
      <c r="AE51" s="174"/>
      <c r="AF51" s="154" t="s">
        <v>108</v>
      </c>
      <c r="AG51" s="2"/>
      <c r="AH51" s="2"/>
      <c r="AI51" s="2"/>
      <c r="AJ51" s="2"/>
      <c r="AK51" s="2"/>
    </row>
  </sheetData>
  <conditionalFormatting sqref="A1:AF11 A13:AF22 A12:Z12 A24:AF32 A23:AA23 AF34:AH34 AF36:AH37 AF38:AK38 AF36:AJ36 AE39:AM39 AB40:AK40 AB41:AM43 AB44:AC45 AJ44:AM44 AF48:AK48 AE47 AL45:AM45 AG47:AK47">
    <cfRule type="colorScale" priority="5">
      <colorScale>
        <cfvo type="num" val="0"/>
        <cfvo type="num" val="255"/>
        <color theme="1"/>
        <color theme="0"/>
      </colorScale>
    </cfRule>
  </conditionalFormatting>
  <conditionalFormatting sqref="U40:W40">
    <cfRule type="colorScale" priority="1">
      <colorScale>
        <cfvo type="num" val="0"/>
        <cfvo type="num" val="255"/>
        <color theme="1"/>
        <color theme="0"/>
      </colorScale>
    </cfRule>
  </conditionalFormatting>
  <conditionalFormatting sqref="X36:Y36 U38:W38">
    <cfRule type="colorScale" priority="2">
      <colorScale>
        <cfvo type="num" val="0"/>
        <cfvo type="num" val="255"/>
        <color theme="1"/>
        <color theme="0"/>
      </colorScale>
    </cfRule>
  </conditionalFormatting>
  <conditionalFormatting sqref="AG1:BL11 AG13:BL22 AM12:BL12 AG24:BL32 AJ23:BL23">
    <cfRule type="colorScale" priority="4">
      <colorScale>
        <cfvo type="num" val="0"/>
        <cfvo type="num" val="255"/>
        <color theme="1"/>
        <color theme="0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2C1877-FE85-464F-9788-41C136F1EB6A}">
  <sheetPr>
    <tabColor rgb="FF478AE9"/>
  </sheetPr>
  <dimension ref="A2:DD104"/>
  <sheetViews>
    <sheetView showGridLines="0" showRowColHeaders="0" zoomScale="31" zoomScaleNormal="117" workbookViewId="0">
      <selection activeCell="J28" sqref="J28"/>
    </sheetView>
  </sheetViews>
  <sheetFormatPr baseColWidth="10" defaultColWidth="4.1640625" defaultRowHeight="17" customHeight="1" x14ac:dyDescent="0.2"/>
  <cols>
    <col min="1" max="2" width="4.1640625" style="6"/>
    <col min="3" max="3" width="4.1640625" style="57"/>
    <col min="4" max="16384" width="4.1640625" style="6"/>
  </cols>
  <sheetData>
    <row r="2" spans="1:108" s="73" customFormat="1" ht="17" customHeight="1" x14ac:dyDescent="0.2">
      <c r="A2" s="148"/>
      <c r="B2" s="51" t="s">
        <v>27</v>
      </c>
      <c r="C2" s="51" t="s">
        <v>36</v>
      </c>
      <c r="D2" s="51" t="s">
        <v>22</v>
      </c>
      <c r="E2" s="51" t="s">
        <v>36</v>
      </c>
      <c r="F2" s="51" t="s">
        <v>31</v>
      </c>
      <c r="G2" s="51" t="s">
        <v>28</v>
      </c>
      <c r="H2" s="51" t="s">
        <v>22</v>
      </c>
      <c r="J2" s="73" t="s">
        <v>99</v>
      </c>
      <c r="K2" s="74" t="s">
        <v>29</v>
      </c>
      <c r="L2" s="74" t="s">
        <v>52</v>
      </c>
      <c r="M2" s="74" t="s">
        <v>15</v>
      </c>
      <c r="O2" s="145"/>
      <c r="P2" s="144" t="s">
        <v>98</v>
      </c>
      <c r="Q2" s="144"/>
      <c r="R2" s="144"/>
      <c r="T2" s="75" t="s">
        <v>59</v>
      </c>
      <c r="U2" s="22"/>
      <c r="V2" s="22"/>
    </row>
    <row r="3" spans="1:108" s="53" customFormat="1" ht="17" customHeight="1" x14ac:dyDescent="0.2">
      <c r="B3" s="57"/>
      <c r="C3" s="72"/>
      <c r="D3" s="58"/>
      <c r="E3" s="58"/>
      <c r="F3" s="58"/>
      <c r="G3" s="58"/>
      <c r="H3" s="58"/>
      <c r="I3" s="58"/>
      <c r="J3" s="58"/>
      <c r="K3" s="58"/>
      <c r="L3" s="58"/>
      <c r="M3" s="18"/>
      <c r="N3" s="18"/>
      <c r="O3" s="18"/>
      <c r="P3" s="18"/>
      <c r="Q3" s="18"/>
      <c r="R3" s="18"/>
    </row>
    <row r="4" spans="1:108" s="54" customFormat="1" ht="17" customHeight="1" thickBot="1" x14ac:dyDescent="0.25">
      <c r="C4" s="57"/>
      <c r="D4" s="146"/>
      <c r="L4" s="55" t="s">
        <v>17</v>
      </c>
      <c r="M4" s="56" t="s">
        <v>19</v>
      </c>
      <c r="X4" s="146"/>
      <c r="AF4" s="55" t="s">
        <v>17</v>
      </c>
      <c r="AG4" s="56" t="s">
        <v>44</v>
      </c>
      <c r="AR4" s="146"/>
      <c r="AZ4" s="55" t="s">
        <v>17</v>
      </c>
      <c r="BA4" s="56" t="s">
        <v>45</v>
      </c>
      <c r="BL4" s="146"/>
      <c r="BT4" s="55" t="s">
        <v>17</v>
      </c>
      <c r="BU4" s="56" t="s">
        <v>46</v>
      </c>
      <c r="CF4" s="147"/>
    </row>
    <row r="5" spans="1:108" ht="17" customHeight="1" x14ac:dyDescent="0.2">
      <c r="A5" s="63"/>
      <c r="B5" s="64"/>
      <c r="C5" s="65" t="s">
        <v>40</v>
      </c>
      <c r="D5" s="7">
        <v>2</v>
      </c>
      <c r="E5" s="8">
        <v>2</v>
      </c>
      <c r="F5" s="8">
        <v>2</v>
      </c>
      <c r="G5" s="8">
        <v>2</v>
      </c>
      <c r="H5" s="8">
        <v>2</v>
      </c>
      <c r="I5" s="8">
        <v>2</v>
      </c>
      <c r="J5" s="8">
        <v>2</v>
      </c>
      <c r="K5" s="8">
        <v>2</v>
      </c>
      <c r="L5" s="8">
        <v>2</v>
      </c>
      <c r="M5" s="8">
        <v>2</v>
      </c>
      <c r="N5" s="8">
        <v>2</v>
      </c>
      <c r="O5" s="8">
        <v>2</v>
      </c>
      <c r="P5" s="8">
        <v>2</v>
      </c>
      <c r="Q5" s="8">
        <v>2</v>
      </c>
      <c r="R5" s="8">
        <v>2</v>
      </c>
      <c r="S5" s="8">
        <v>2</v>
      </c>
      <c r="T5" s="8">
        <v>2</v>
      </c>
      <c r="U5" s="8">
        <v>2</v>
      </c>
      <c r="V5" s="8">
        <v>2</v>
      </c>
      <c r="W5" s="9">
        <v>2</v>
      </c>
      <c r="X5" s="7">
        <v>2</v>
      </c>
      <c r="Y5" s="8">
        <v>2</v>
      </c>
      <c r="Z5" s="8">
        <v>2</v>
      </c>
      <c r="AA5" s="8">
        <v>2</v>
      </c>
      <c r="AB5" s="8">
        <v>2</v>
      </c>
      <c r="AC5" s="8">
        <v>2</v>
      </c>
      <c r="AD5" s="8">
        <v>2</v>
      </c>
      <c r="AE5" s="8">
        <v>0</v>
      </c>
      <c r="AF5" s="8">
        <v>0</v>
      </c>
      <c r="AG5" s="8">
        <v>0</v>
      </c>
      <c r="AH5" s="8">
        <v>0</v>
      </c>
      <c r="AI5" s="8">
        <v>0</v>
      </c>
      <c r="AJ5" s="8">
        <v>1</v>
      </c>
      <c r="AK5" s="8">
        <v>2</v>
      </c>
      <c r="AL5" s="8">
        <v>2</v>
      </c>
      <c r="AM5" s="8">
        <v>2</v>
      </c>
      <c r="AN5" s="8">
        <v>2</v>
      </c>
      <c r="AO5" s="8">
        <v>2</v>
      </c>
      <c r="AP5" s="8">
        <v>2</v>
      </c>
      <c r="AQ5" s="9">
        <v>2</v>
      </c>
      <c r="AR5" s="7">
        <v>2</v>
      </c>
      <c r="AS5" s="8">
        <v>2</v>
      </c>
      <c r="AT5" s="8">
        <v>2</v>
      </c>
      <c r="AU5" s="8">
        <v>2</v>
      </c>
      <c r="AV5" s="8">
        <v>2</v>
      </c>
      <c r="AW5" s="8">
        <v>2</v>
      </c>
      <c r="AX5" s="8">
        <v>2</v>
      </c>
      <c r="AY5" s="8">
        <v>2</v>
      </c>
      <c r="AZ5" s="8">
        <v>2</v>
      </c>
      <c r="BA5" s="8">
        <v>2</v>
      </c>
      <c r="BB5" s="8">
        <v>2</v>
      </c>
      <c r="BC5" s="8">
        <v>2</v>
      </c>
      <c r="BD5" s="8">
        <v>2</v>
      </c>
      <c r="BE5" s="8">
        <v>2</v>
      </c>
      <c r="BF5" s="8">
        <v>2</v>
      </c>
      <c r="BG5" s="8">
        <v>2</v>
      </c>
      <c r="BH5" s="8">
        <v>2</v>
      </c>
      <c r="BI5" s="8">
        <v>2</v>
      </c>
      <c r="BJ5" s="8">
        <v>2</v>
      </c>
      <c r="BK5" s="9">
        <v>2</v>
      </c>
      <c r="BL5" s="7">
        <v>2</v>
      </c>
      <c r="BM5" s="8">
        <v>2</v>
      </c>
      <c r="BN5" s="8">
        <v>2</v>
      </c>
      <c r="BO5" s="8">
        <v>3</v>
      </c>
      <c r="BP5" s="8">
        <v>3</v>
      </c>
      <c r="BQ5" s="8">
        <v>3</v>
      </c>
      <c r="BR5" s="8">
        <v>2</v>
      </c>
      <c r="BS5" s="8">
        <v>2</v>
      </c>
      <c r="BT5" s="8">
        <v>3</v>
      </c>
      <c r="BU5" s="8">
        <v>3</v>
      </c>
      <c r="BV5" s="8">
        <v>3</v>
      </c>
      <c r="BW5" s="8">
        <v>3</v>
      </c>
      <c r="BX5" s="8">
        <v>3</v>
      </c>
      <c r="BY5" s="8">
        <v>3</v>
      </c>
      <c r="BZ5" s="8">
        <v>3</v>
      </c>
      <c r="CA5" s="8">
        <v>3</v>
      </c>
      <c r="CB5" s="8">
        <v>3</v>
      </c>
      <c r="CC5" s="8">
        <v>3</v>
      </c>
      <c r="CD5" s="8">
        <v>3</v>
      </c>
      <c r="CE5" s="9">
        <v>2</v>
      </c>
      <c r="CG5" s="37" t="s">
        <v>47</v>
      </c>
      <c r="CH5" s="37" t="s">
        <v>48</v>
      </c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</row>
    <row r="6" spans="1:108" ht="17" customHeight="1" x14ac:dyDescent="0.2">
      <c r="A6" s="66"/>
      <c r="C6" s="67" t="s">
        <v>20</v>
      </c>
      <c r="D6" s="10">
        <v>2</v>
      </c>
      <c r="E6" s="1">
        <v>2</v>
      </c>
      <c r="F6" s="1">
        <v>2</v>
      </c>
      <c r="G6" s="1">
        <v>2</v>
      </c>
      <c r="H6" s="1">
        <v>2</v>
      </c>
      <c r="I6" s="1">
        <v>2</v>
      </c>
      <c r="J6" s="1">
        <v>1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2</v>
      </c>
      <c r="R6" s="1">
        <v>2</v>
      </c>
      <c r="S6" s="1">
        <v>2</v>
      </c>
      <c r="T6" s="1">
        <v>2</v>
      </c>
      <c r="U6" s="1">
        <v>2</v>
      </c>
      <c r="V6" s="1">
        <v>2</v>
      </c>
      <c r="W6" s="11">
        <v>2</v>
      </c>
      <c r="X6" s="10">
        <v>3</v>
      </c>
      <c r="Y6" s="1">
        <v>3</v>
      </c>
      <c r="Z6" s="1">
        <v>3</v>
      </c>
      <c r="AA6" s="1">
        <v>3</v>
      </c>
      <c r="AB6" s="1">
        <v>3</v>
      </c>
      <c r="AC6" s="1">
        <v>2</v>
      </c>
      <c r="AD6" s="1">
        <v>1</v>
      </c>
      <c r="AE6" s="1">
        <v>15</v>
      </c>
      <c r="AF6" s="1">
        <v>36</v>
      </c>
      <c r="AG6" s="1">
        <v>43</v>
      </c>
      <c r="AH6" s="1">
        <v>45</v>
      </c>
      <c r="AI6" s="1">
        <v>25</v>
      </c>
      <c r="AJ6" s="1">
        <v>3</v>
      </c>
      <c r="AK6" s="1">
        <v>1</v>
      </c>
      <c r="AL6" s="1">
        <v>3</v>
      </c>
      <c r="AM6" s="1">
        <v>3</v>
      </c>
      <c r="AN6" s="1">
        <v>3</v>
      </c>
      <c r="AO6" s="1">
        <v>3</v>
      </c>
      <c r="AP6" s="1">
        <v>3</v>
      </c>
      <c r="AQ6" s="11">
        <v>3</v>
      </c>
      <c r="AR6" s="10">
        <v>2</v>
      </c>
      <c r="AS6" s="1">
        <v>2</v>
      </c>
      <c r="AT6" s="1">
        <v>2</v>
      </c>
      <c r="AU6" s="1">
        <v>2</v>
      </c>
      <c r="AV6" s="1">
        <v>2</v>
      </c>
      <c r="AW6" s="1">
        <v>2</v>
      </c>
      <c r="AX6" s="1">
        <v>1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2</v>
      </c>
      <c r="BF6" s="1">
        <v>2</v>
      </c>
      <c r="BG6" s="1">
        <v>2</v>
      </c>
      <c r="BH6" s="1">
        <v>2</v>
      </c>
      <c r="BI6" s="1">
        <v>2</v>
      </c>
      <c r="BJ6" s="1">
        <v>2</v>
      </c>
      <c r="BK6" s="11">
        <v>2</v>
      </c>
      <c r="BL6" s="10">
        <v>4</v>
      </c>
      <c r="BM6" s="1">
        <v>4</v>
      </c>
      <c r="BN6" s="1">
        <v>4</v>
      </c>
      <c r="BO6" s="1">
        <v>4</v>
      </c>
      <c r="BP6" s="1">
        <v>4</v>
      </c>
      <c r="BQ6" s="1">
        <v>3</v>
      </c>
      <c r="BR6" s="1">
        <v>3</v>
      </c>
      <c r="BS6" s="1">
        <v>3</v>
      </c>
      <c r="BT6" s="1">
        <v>3</v>
      </c>
      <c r="BU6" s="1">
        <v>3</v>
      </c>
      <c r="BV6" s="1">
        <v>3</v>
      </c>
      <c r="BW6" s="1">
        <v>3</v>
      </c>
      <c r="BX6" s="1">
        <v>3</v>
      </c>
      <c r="BY6" s="1">
        <v>3</v>
      </c>
      <c r="BZ6" s="1">
        <v>3</v>
      </c>
      <c r="CA6" s="1">
        <v>3</v>
      </c>
      <c r="CB6" s="1">
        <v>3</v>
      </c>
      <c r="CC6" s="1">
        <v>3</v>
      </c>
      <c r="CD6" s="1">
        <v>3</v>
      </c>
      <c r="CE6" s="11">
        <v>3</v>
      </c>
      <c r="CG6" s="39">
        <v>1</v>
      </c>
      <c r="CH6" s="42">
        <v>1</v>
      </c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</row>
    <row r="7" spans="1:108" ht="17" customHeight="1" x14ac:dyDescent="0.2">
      <c r="A7" s="66"/>
      <c r="C7" s="68"/>
      <c r="D7" s="10">
        <v>2</v>
      </c>
      <c r="E7" s="1">
        <v>3</v>
      </c>
      <c r="F7" s="1">
        <v>3</v>
      </c>
      <c r="G7" s="1">
        <v>2</v>
      </c>
      <c r="H7" s="1">
        <v>2</v>
      </c>
      <c r="I7" s="1">
        <v>0</v>
      </c>
      <c r="J7" s="1">
        <v>7</v>
      </c>
      <c r="K7" s="1">
        <v>33</v>
      </c>
      <c r="L7" s="1">
        <v>66</v>
      </c>
      <c r="M7" s="1">
        <v>80</v>
      </c>
      <c r="N7" s="1">
        <v>83</v>
      </c>
      <c r="O7" s="1">
        <v>61</v>
      </c>
      <c r="P7" s="1">
        <v>22</v>
      </c>
      <c r="Q7" s="1">
        <v>0</v>
      </c>
      <c r="R7" s="1">
        <v>1</v>
      </c>
      <c r="S7" s="1">
        <v>3</v>
      </c>
      <c r="T7" s="1">
        <v>2</v>
      </c>
      <c r="U7" s="1">
        <v>3</v>
      </c>
      <c r="V7" s="1">
        <v>3</v>
      </c>
      <c r="W7" s="11">
        <v>2</v>
      </c>
      <c r="X7" s="10">
        <v>5</v>
      </c>
      <c r="Y7" s="1">
        <v>6</v>
      </c>
      <c r="Z7" s="1">
        <v>5</v>
      </c>
      <c r="AA7" s="1">
        <v>5</v>
      </c>
      <c r="AB7" s="1">
        <v>3</v>
      </c>
      <c r="AC7" s="1">
        <v>16</v>
      </c>
      <c r="AD7" s="1">
        <v>79</v>
      </c>
      <c r="AE7" s="1">
        <v>117</v>
      </c>
      <c r="AF7" s="1">
        <v>103</v>
      </c>
      <c r="AG7" s="1">
        <v>87</v>
      </c>
      <c r="AH7" s="1">
        <v>107</v>
      </c>
      <c r="AI7" s="1">
        <v>121</v>
      </c>
      <c r="AJ7" s="1">
        <v>92</v>
      </c>
      <c r="AK7" s="1">
        <v>30</v>
      </c>
      <c r="AL7" s="1">
        <v>4</v>
      </c>
      <c r="AM7" s="1">
        <v>6</v>
      </c>
      <c r="AN7" s="1">
        <v>6</v>
      </c>
      <c r="AO7" s="1">
        <v>5</v>
      </c>
      <c r="AP7" s="1">
        <v>5</v>
      </c>
      <c r="AQ7" s="11">
        <v>5</v>
      </c>
      <c r="AR7" s="10">
        <v>2</v>
      </c>
      <c r="AS7" s="1">
        <v>3</v>
      </c>
      <c r="AT7" s="1">
        <v>3</v>
      </c>
      <c r="AU7" s="1">
        <v>2</v>
      </c>
      <c r="AV7" s="1">
        <v>2</v>
      </c>
      <c r="AW7" s="1">
        <v>0</v>
      </c>
      <c r="AX7" s="1">
        <v>7</v>
      </c>
      <c r="AY7" s="1">
        <v>33</v>
      </c>
      <c r="AZ7" s="1">
        <v>66</v>
      </c>
      <c r="BA7" s="1">
        <v>80</v>
      </c>
      <c r="BB7" s="1">
        <v>83</v>
      </c>
      <c r="BC7" s="1">
        <v>61</v>
      </c>
      <c r="BD7" s="1">
        <v>22</v>
      </c>
      <c r="BE7" s="1">
        <v>0</v>
      </c>
      <c r="BF7" s="1">
        <v>1</v>
      </c>
      <c r="BG7" s="1">
        <v>3</v>
      </c>
      <c r="BH7" s="1">
        <v>2</v>
      </c>
      <c r="BI7" s="1">
        <v>3</v>
      </c>
      <c r="BJ7" s="1">
        <v>3</v>
      </c>
      <c r="BK7" s="11">
        <v>2</v>
      </c>
      <c r="BL7" s="10">
        <v>4</v>
      </c>
      <c r="BM7" s="1">
        <v>4</v>
      </c>
      <c r="BN7" s="1">
        <v>4</v>
      </c>
      <c r="BO7" s="1">
        <v>4</v>
      </c>
      <c r="BP7" s="1">
        <v>4</v>
      </c>
      <c r="BQ7" s="1">
        <v>3</v>
      </c>
      <c r="BR7" s="1">
        <v>3</v>
      </c>
      <c r="BS7" s="1">
        <v>3</v>
      </c>
      <c r="BT7" s="1">
        <v>3</v>
      </c>
      <c r="BU7" s="1">
        <v>1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2</v>
      </c>
      <c r="CB7" s="1">
        <v>3</v>
      </c>
      <c r="CC7" s="1">
        <v>3</v>
      </c>
      <c r="CD7" s="1">
        <v>3</v>
      </c>
      <c r="CE7" s="11">
        <v>3</v>
      </c>
      <c r="CG7" s="40">
        <v>2</v>
      </c>
      <c r="CH7" s="43">
        <v>2</v>
      </c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</row>
    <row r="8" spans="1:108" ht="17" customHeight="1" x14ac:dyDescent="0.2">
      <c r="A8" s="66"/>
      <c r="C8" s="68"/>
      <c r="D8" s="10">
        <v>2</v>
      </c>
      <c r="E8" s="1">
        <v>4</v>
      </c>
      <c r="F8" s="1">
        <v>3</v>
      </c>
      <c r="G8" s="1">
        <v>2</v>
      </c>
      <c r="H8" s="1">
        <v>9</v>
      </c>
      <c r="I8" s="1">
        <v>51</v>
      </c>
      <c r="J8" s="1">
        <v>104</v>
      </c>
      <c r="K8" s="1">
        <v>104</v>
      </c>
      <c r="L8" s="1">
        <v>87</v>
      </c>
      <c r="M8" s="1">
        <v>71</v>
      </c>
      <c r="N8" s="1">
        <v>81</v>
      </c>
      <c r="O8" s="1">
        <v>99</v>
      </c>
      <c r="P8" s="1">
        <v>115</v>
      </c>
      <c r="Q8" s="1">
        <v>78</v>
      </c>
      <c r="R8" s="1">
        <v>13</v>
      </c>
      <c r="S8" s="1">
        <v>2</v>
      </c>
      <c r="T8" s="1">
        <v>4</v>
      </c>
      <c r="U8" s="1">
        <v>3</v>
      </c>
      <c r="V8" s="1">
        <v>4</v>
      </c>
      <c r="W8" s="11">
        <v>2</v>
      </c>
      <c r="X8" s="10">
        <v>4</v>
      </c>
      <c r="Y8" s="1">
        <v>6</v>
      </c>
      <c r="Z8" s="1">
        <v>6</v>
      </c>
      <c r="AA8" s="1">
        <v>5</v>
      </c>
      <c r="AB8" s="1">
        <v>46</v>
      </c>
      <c r="AC8" s="1">
        <v>116</v>
      </c>
      <c r="AD8" s="1">
        <v>120</v>
      </c>
      <c r="AE8" s="1">
        <v>76</v>
      </c>
      <c r="AF8" s="1">
        <v>61</v>
      </c>
      <c r="AG8" s="1">
        <v>73</v>
      </c>
      <c r="AH8" s="1">
        <v>57</v>
      </c>
      <c r="AI8" s="1">
        <v>64</v>
      </c>
      <c r="AJ8" s="1">
        <v>99</v>
      </c>
      <c r="AK8" s="1">
        <v>117</v>
      </c>
      <c r="AL8" s="1">
        <v>57</v>
      </c>
      <c r="AM8" s="1">
        <v>6</v>
      </c>
      <c r="AN8" s="1">
        <v>7</v>
      </c>
      <c r="AO8" s="1">
        <v>7</v>
      </c>
      <c r="AP8" s="1">
        <v>7</v>
      </c>
      <c r="AQ8" s="11">
        <v>4</v>
      </c>
      <c r="AR8" s="10">
        <v>2</v>
      </c>
      <c r="AS8" s="1">
        <v>4</v>
      </c>
      <c r="AT8" s="1">
        <v>3</v>
      </c>
      <c r="AU8" s="1">
        <v>2</v>
      </c>
      <c r="AV8" s="1">
        <v>9</v>
      </c>
      <c r="AW8" s="1">
        <v>51</v>
      </c>
      <c r="AX8" s="1">
        <v>104</v>
      </c>
      <c r="AY8" s="1">
        <v>104</v>
      </c>
      <c r="AZ8" s="1">
        <v>87</v>
      </c>
      <c r="BA8" s="1">
        <v>71</v>
      </c>
      <c r="BB8" s="1">
        <v>81</v>
      </c>
      <c r="BC8" s="1">
        <v>99</v>
      </c>
      <c r="BD8" s="1">
        <v>115</v>
      </c>
      <c r="BE8" s="1">
        <v>78</v>
      </c>
      <c r="BF8" s="1">
        <v>13</v>
      </c>
      <c r="BG8" s="1">
        <v>2</v>
      </c>
      <c r="BH8" s="1">
        <v>4</v>
      </c>
      <c r="BI8" s="1">
        <v>3</v>
      </c>
      <c r="BJ8" s="1">
        <v>4</v>
      </c>
      <c r="BK8" s="11">
        <v>2</v>
      </c>
      <c r="BL8" s="10">
        <v>4</v>
      </c>
      <c r="BM8" s="1">
        <v>4</v>
      </c>
      <c r="BN8" s="1">
        <v>4</v>
      </c>
      <c r="BO8" s="1">
        <v>4</v>
      </c>
      <c r="BP8" s="1">
        <v>4</v>
      </c>
      <c r="BQ8" s="1">
        <v>4</v>
      </c>
      <c r="BR8" s="1">
        <v>3</v>
      </c>
      <c r="BS8" s="1">
        <v>0</v>
      </c>
      <c r="BT8" s="1">
        <v>2</v>
      </c>
      <c r="BU8" s="1">
        <v>16</v>
      </c>
      <c r="BV8" s="1">
        <v>31</v>
      </c>
      <c r="BW8" s="1">
        <v>43</v>
      </c>
      <c r="BX8" s="1">
        <v>49</v>
      </c>
      <c r="BY8" s="1">
        <v>46</v>
      </c>
      <c r="BZ8" s="1">
        <v>33</v>
      </c>
      <c r="CA8" s="1">
        <v>9</v>
      </c>
      <c r="CB8" s="1">
        <v>0</v>
      </c>
      <c r="CC8" s="1">
        <v>3</v>
      </c>
      <c r="CD8" s="1">
        <v>4</v>
      </c>
      <c r="CE8" s="11">
        <v>4</v>
      </c>
      <c r="CG8" s="40">
        <v>3</v>
      </c>
      <c r="CH8" s="43">
        <v>3</v>
      </c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</row>
    <row r="9" spans="1:108" ht="17" customHeight="1" x14ac:dyDescent="0.2">
      <c r="A9" s="66"/>
      <c r="C9" s="68"/>
      <c r="D9" s="10">
        <v>2</v>
      </c>
      <c r="E9" s="1">
        <v>6</v>
      </c>
      <c r="F9" s="1">
        <v>4</v>
      </c>
      <c r="G9" s="1">
        <v>12</v>
      </c>
      <c r="H9" s="1">
        <v>110</v>
      </c>
      <c r="I9" s="1">
        <v>129</v>
      </c>
      <c r="J9" s="1">
        <v>82</v>
      </c>
      <c r="K9" s="1">
        <v>53</v>
      </c>
      <c r="L9" s="1">
        <v>57</v>
      </c>
      <c r="M9" s="1">
        <v>77</v>
      </c>
      <c r="N9" s="1">
        <v>46</v>
      </c>
      <c r="O9" s="1">
        <v>46</v>
      </c>
      <c r="P9" s="1">
        <v>70</v>
      </c>
      <c r="Q9" s="1">
        <v>107</v>
      </c>
      <c r="R9" s="1">
        <v>99</v>
      </c>
      <c r="S9" s="1">
        <v>15</v>
      </c>
      <c r="T9" s="1">
        <v>3</v>
      </c>
      <c r="U9" s="1">
        <v>5</v>
      </c>
      <c r="V9" s="1">
        <v>5</v>
      </c>
      <c r="W9" s="11">
        <v>2</v>
      </c>
      <c r="X9" s="10">
        <v>3</v>
      </c>
      <c r="Y9" s="1">
        <v>7</v>
      </c>
      <c r="Z9" s="1">
        <v>3</v>
      </c>
      <c r="AA9" s="1">
        <v>53</v>
      </c>
      <c r="AB9" s="1">
        <v>137</v>
      </c>
      <c r="AC9" s="1">
        <v>99</v>
      </c>
      <c r="AD9" s="1">
        <v>54</v>
      </c>
      <c r="AE9" s="1">
        <v>53</v>
      </c>
      <c r="AF9" s="1">
        <v>59</v>
      </c>
      <c r="AG9" s="1">
        <v>68</v>
      </c>
      <c r="AH9" s="1">
        <v>56</v>
      </c>
      <c r="AI9" s="1">
        <v>55</v>
      </c>
      <c r="AJ9" s="1">
        <v>53</v>
      </c>
      <c r="AK9" s="1">
        <v>74</v>
      </c>
      <c r="AL9" s="1">
        <v>112</v>
      </c>
      <c r="AM9" s="1">
        <v>66</v>
      </c>
      <c r="AN9" s="1">
        <v>5</v>
      </c>
      <c r="AO9" s="1">
        <v>6</v>
      </c>
      <c r="AP9" s="1">
        <v>7</v>
      </c>
      <c r="AQ9" s="11">
        <v>3</v>
      </c>
      <c r="AR9" s="10">
        <v>2</v>
      </c>
      <c r="AS9" s="1">
        <v>6</v>
      </c>
      <c r="AT9" s="1">
        <v>4</v>
      </c>
      <c r="AU9" s="1">
        <v>12</v>
      </c>
      <c r="AV9" s="1">
        <v>110</v>
      </c>
      <c r="AW9" s="1">
        <v>129</v>
      </c>
      <c r="AX9" s="1">
        <v>82</v>
      </c>
      <c r="AY9" s="1">
        <v>53</v>
      </c>
      <c r="AZ9" s="1">
        <v>57</v>
      </c>
      <c r="BA9" s="1">
        <v>77</v>
      </c>
      <c r="BB9" s="1">
        <v>46</v>
      </c>
      <c r="BC9" s="1">
        <v>46</v>
      </c>
      <c r="BD9" s="1">
        <v>70</v>
      </c>
      <c r="BE9" s="1">
        <v>107</v>
      </c>
      <c r="BF9" s="1">
        <v>99</v>
      </c>
      <c r="BG9" s="1">
        <v>15</v>
      </c>
      <c r="BH9" s="1">
        <v>3</v>
      </c>
      <c r="BI9" s="1">
        <v>5</v>
      </c>
      <c r="BJ9" s="1">
        <v>5</v>
      </c>
      <c r="BK9" s="11">
        <v>2</v>
      </c>
      <c r="BL9" s="10">
        <v>5</v>
      </c>
      <c r="BM9" s="1">
        <v>5</v>
      </c>
      <c r="BN9" s="1">
        <v>4</v>
      </c>
      <c r="BO9" s="1">
        <v>4</v>
      </c>
      <c r="BP9" s="1">
        <v>4</v>
      </c>
      <c r="BQ9" s="1">
        <v>2</v>
      </c>
      <c r="BR9" s="1">
        <v>3</v>
      </c>
      <c r="BS9" s="1">
        <v>40</v>
      </c>
      <c r="BT9" s="1">
        <v>88</v>
      </c>
      <c r="BU9" s="1">
        <v>104</v>
      </c>
      <c r="BV9" s="1">
        <v>102</v>
      </c>
      <c r="BW9" s="1">
        <v>103</v>
      </c>
      <c r="BX9" s="1">
        <v>103</v>
      </c>
      <c r="BY9" s="1">
        <v>105</v>
      </c>
      <c r="BZ9" s="1">
        <v>115</v>
      </c>
      <c r="CA9" s="1">
        <v>113</v>
      </c>
      <c r="CB9" s="1">
        <v>49</v>
      </c>
      <c r="CC9" s="1">
        <v>4</v>
      </c>
      <c r="CD9" s="1">
        <v>3</v>
      </c>
      <c r="CE9" s="11">
        <v>4</v>
      </c>
      <c r="CF9" s="38"/>
      <c r="CG9" s="41">
        <v>4</v>
      </c>
      <c r="CH9" s="44">
        <v>4</v>
      </c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</row>
    <row r="10" spans="1:108" ht="17" customHeight="1" x14ac:dyDescent="0.2">
      <c r="A10" s="66"/>
      <c r="C10" s="68"/>
      <c r="D10" s="10">
        <v>1</v>
      </c>
      <c r="E10" s="1">
        <v>6</v>
      </c>
      <c r="F10" s="1">
        <v>0</v>
      </c>
      <c r="G10" s="1">
        <v>71</v>
      </c>
      <c r="H10" s="1">
        <v>130</v>
      </c>
      <c r="I10" s="1">
        <v>66</v>
      </c>
      <c r="J10" s="1">
        <v>48</v>
      </c>
      <c r="K10" s="1">
        <v>49</v>
      </c>
      <c r="L10" s="1">
        <v>59</v>
      </c>
      <c r="M10" s="1">
        <v>79</v>
      </c>
      <c r="N10" s="1">
        <v>53</v>
      </c>
      <c r="O10" s="1">
        <v>47</v>
      </c>
      <c r="P10" s="1">
        <v>48</v>
      </c>
      <c r="Q10" s="1">
        <v>56</v>
      </c>
      <c r="R10" s="1">
        <v>95</v>
      </c>
      <c r="S10" s="1">
        <v>90</v>
      </c>
      <c r="T10" s="1">
        <v>9</v>
      </c>
      <c r="U10" s="1">
        <v>4</v>
      </c>
      <c r="V10" s="1">
        <v>6</v>
      </c>
      <c r="W10" s="11">
        <v>1</v>
      </c>
      <c r="X10" s="10">
        <v>1</v>
      </c>
      <c r="Y10" s="1">
        <v>4</v>
      </c>
      <c r="Z10" s="1">
        <v>25</v>
      </c>
      <c r="AA10" s="1">
        <v>116</v>
      </c>
      <c r="AB10" s="1">
        <v>85</v>
      </c>
      <c r="AC10" s="1">
        <v>57</v>
      </c>
      <c r="AD10" s="1">
        <v>57</v>
      </c>
      <c r="AE10" s="1">
        <v>63</v>
      </c>
      <c r="AF10" s="1">
        <v>67</v>
      </c>
      <c r="AG10" s="1">
        <v>64</v>
      </c>
      <c r="AH10" s="1">
        <v>62</v>
      </c>
      <c r="AI10" s="1">
        <v>58</v>
      </c>
      <c r="AJ10" s="1">
        <v>53</v>
      </c>
      <c r="AK10" s="1">
        <v>51</v>
      </c>
      <c r="AL10" s="1">
        <v>62</v>
      </c>
      <c r="AM10" s="1">
        <v>99</v>
      </c>
      <c r="AN10" s="1">
        <v>44</v>
      </c>
      <c r="AO10" s="1">
        <v>4</v>
      </c>
      <c r="AP10" s="1">
        <v>7</v>
      </c>
      <c r="AQ10" s="11">
        <v>1</v>
      </c>
      <c r="AR10" s="10">
        <v>1</v>
      </c>
      <c r="AS10" s="1">
        <v>6</v>
      </c>
      <c r="AT10" s="1">
        <v>0</v>
      </c>
      <c r="AU10" s="1">
        <v>71</v>
      </c>
      <c r="AV10" s="1">
        <v>130</v>
      </c>
      <c r="AW10" s="1">
        <v>66</v>
      </c>
      <c r="AX10" s="1">
        <v>48</v>
      </c>
      <c r="AY10" s="1">
        <v>49</v>
      </c>
      <c r="AZ10" s="1">
        <v>59</v>
      </c>
      <c r="BA10" s="1">
        <v>79</v>
      </c>
      <c r="BB10" s="1">
        <v>53</v>
      </c>
      <c r="BC10" s="1">
        <v>47</v>
      </c>
      <c r="BD10" s="1">
        <v>48</v>
      </c>
      <c r="BE10" s="1">
        <v>56</v>
      </c>
      <c r="BF10" s="1">
        <v>95</v>
      </c>
      <c r="BG10" s="1">
        <v>90</v>
      </c>
      <c r="BH10" s="1">
        <v>9</v>
      </c>
      <c r="BI10" s="1">
        <v>4</v>
      </c>
      <c r="BJ10" s="1">
        <v>6</v>
      </c>
      <c r="BK10" s="11">
        <v>1</v>
      </c>
      <c r="BL10" s="10">
        <v>5</v>
      </c>
      <c r="BM10" s="1">
        <v>5</v>
      </c>
      <c r="BN10" s="1">
        <v>4</v>
      </c>
      <c r="BO10" s="1">
        <v>4</v>
      </c>
      <c r="BP10" s="1">
        <v>1</v>
      </c>
      <c r="BQ10" s="1">
        <v>17</v>
      </c>
      <c r="BR10" s="1">
        <v>78</v>
      </c>
      <c r="BS10" s="1">
        <v>91</v>
      </c>
      <c r="BT10" s="1">
        <v>67</v>
      </c>
      <c r="BU10" s="1">
        <v>72</v>
      </c>
      <c r="BV10" s="1">
        <v>63</v>
      </c>
      <c r="BW10" s="1">
        <v>62</v>
      </c>
      <c r="BX10" s="1">
        <v>59</v>
      </c>
      <c r="BY10" s="1">
        <v>56</v>
      </c>
      <c r="BZ10" s="1">
        <v>61</v>
      </c>
      <c r="CA10" s="1">
        <v>91</v>
      </c>
      <c r="CB10" s="1">
        <v>131</v>
      </c>
      <c r="CC10" s="1">
        <v>72</v>
      </c>
      <c r="CD10" s="1">
        <v>3</v>
      </c>
      <c r="CE10" s="11">
        <v>3</v>
      </c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</row>
    <row r="11" spans="1:108" ht="17" customHeight="1" x14ac:dyDescent="0.2">
      <c r="A11" s="66"/>
      <c r="C11" s="68"/>
      <c r="D11" s="10">
        <v>0</v>
      </c>
      <c r="E11" s="1">
        <v>4</v>
      </c>
      <c r="F11" s="1">
        <v>16</v>
      </c>
      <c r="G11" s="1">
        <v>111</v>
      </c>
      <c r="H11" s="1">
        <v>74</v>
      </c>
      <c r="I11" s="1">
        <v>53</v>
      </c>
      <c r="J11" s="1">
        <v>52</v>
      </c>
      <c r="K11" s="1">
        <v>60</v>
      </c>
      <c r="L11" s="1">
        <v>62</v>
      </c>
      <c r="M11" s="1">
        <v>59</v>
      </c>
      <c r="N11" s="1">
        <v>60</v>
      </c>
      <c r="O11" s="1">
        <v>57</v>
      </c>
      <c r="P11" s="1">
        <v>48</v>
      </c>
      <c r="Q11" s="1">
        <v>47</v>
      </c>
      <c r="R11" s="1">
        <v>65</v>
      </c>
      <c r="S11" s="1">
        <v>102</v>
      </c>
      <c r="T11" s="1">
        <v>68</v>
      </c>
      <c r="U11" s="1">
        <v>2</v>
      </c>
      <c r="V11" s="1">
        <v>5</v>
      </c>
      <c r="W11" s="11">
        <v>1</v>
      </c>
      <c r="X11" s="10">
        <v>0</v>
      </c>
      <c r="Y11" s="1">
        <v>2</v>
      </c>
      <c r="Z11" s="1">
        <v>80</v>
      </c>
      <c r="AA11" s="1">
        <v>91</v>
      </c>
      <c r="AB11" s="1">
        <v>63</v>
      </c>
      <c r="AC11" s="1">
        <v>59</v>
      </c>
      <c r="AD11" s="1">
        <v>66</v>
      </c>
      <c r="AE11" s="1">
        <v>70</v>
      </c>
      <c r="AF11" s="1">
        <v>73</v>
      </c>
      <c r="AG11" s="1">
        <v>71</v>
      </c>
      <c r="AH11" s="1">
        <v>64</v>
      </c>
      <c r="AI11" s="1">
        <v>61</v>
      </c>
      <c r="AJ11" s="1">
        <v>60</v>
      </c>
      <c r="AK11" s="1">
        <v>55</v>
      </c>
      <c r="AL11" s="1">
        <v>53</v>
      </c>
      <c r="AM11" s="1">
        <v>66</v>
      </c>
      <c r="AN11" s="1">
        <v>81</v>
      </c>
      <c r="AO11" s="1">
        <v>9</v>
      </c>
      <c r="AP11" s="1">
        <v>5</v>
      </c>
      <c r="AQ11" s="11">
        <v>0</v>
      </c>
      <c r="AR11" s="10">
        <v>0</v>
      </c>
      <c r="AS11" s="1">
        <v>4</v>
      </c>
      <c r="AT11" s="1">
        <v>16</v>
      </c>
      <c r="AU11" s="1">
        <v>111</v>
      </c>
      <c r="AV11" s="1">
        <v>74</v>
      </c>
      <c r="AW11" s="1">
        <v>53</v>
      </c>
      <c r="AX11" s="1">
        <v>52</v>
      </c>
      <c r="AY11" s="1">
        <v>60</v>
      </c>
      <c r="AZ11" s="1">
        <v>62</v>
      </c>
      <c r="BA11" s="1">
        <v>59</v>
      </c>
      <c r="BB11" s="1">
        <v>60</v>
      </c>
      <c r="BC11" s="1">
        <v>57</v>
      </c>
      <c r="BD11" s="1">
        <v>48</v>
      </c>
      <c r="BE11" s="1">
        <v>47</v>
      </c>
      <c r="BF11" s="1">
        <v>65</v>
      </c>
      <c r="BG11" s="1">
        <v>102</v>
      </c>
      <c r="BH11" s="1">
        <v>68</v>
      </c>
      <c r="BI11" s="1">
        <v>2</v>
      </c>
      <c r="BJ11" s="1">
        <v>5</v>
      </c>
      <c r="BK11" s="11">
        <v>1</v>
      </c>
      <c r="BL11" s="10">
        <v>5</v>
      </c>
      <c r="BM11" s="1">
        <v>5</v>
      </c>
      <c r="BN11" s="1">
        <v>5</v>
      </c>
      <c r="BO11" s="1">
        <v>1</v>
      </c>
      <c r="BP11" s="1">
        <v>26</v>
      </c>
      <c r="BQ11" s="1">
        <v>87</v>
      </c>
      <c r="BR11" s="1">
        <v>86</v>
      </c>
      <c r="BS11" s="1">
        <v>65</v>
      </c>
      <c r="BT11" s="1">
        <v>63</v>
      </c>
      <c r="BU11" s="1">
        <v>73</v>
      </c>
      <c r="BV11" s="1">
        <v>74</v>
      </c>
      <c r="BW11" s="1">
        <v>74</v>
      </c>
      <c r="BX11" s="1">
        <v>76</v>
      </c>
      <c r="BY11" s="1">
        <v>70</v>
      </c>
      <c r="BZ11" s="1">
        <v>66</v>
      </c>
      <c r="CA11" s="1">
        <v>57</v>
      </c>
      <c r="CB11" s="1">
        <v>72</v>
      </c>
      <c r="CC11" s="1">
        <v>129</v>
      </c>
      <c r="CD11" s="1">
        <v>37</v>
      </c>
      <c r="CE11" s="11">
        <v>1</v>
      </c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</row>
    <row r="12" spans="1:108" ht="17" customHeight="1" x14ac:dyDescent="0.2">
      <c r="A12" s="66"/>
      <c r="C12" s="68"/>
      <c r="D12" s="10">
        <v>0</v>
      </c>
      <c r="E12" s="1">
        <v>0</v>
      </c>
      <c r="F12" s="1">
        <v>53</v>
      </c>
      <c r="G12" s="1">
        <v>94</v>
      </c>
      <c r="H12" s="1">
        <v>58</v>
      </c>
      <c r="I12" s="1">
        <v>55</v>
      </c>
      <c r="J12" s="1">
        <v>59</v>
      </c>
      <c r="K12" s="1">
        <v>67</v>
      </c>
      <c r="L12" s="1">
        <v>69</v>
      </c>
      <c r="M12" s="1">
        <v>66</v>
      </c>
      <c r="N12" s="1">
        <v>66</v>
      </c>
      <c r="O12" s="1">
        <v>61</v>
      </c>
      <c r="P12" s="1">
        <v>68</v>
      </c>
      <c r="Q12" s="1">
        <v>71</v>
      </c>
      <c r="R12" s="1">
        <v>54</v>
      </c>
      <c r="S12" s="1">
        <v>52</v>
      </c>
      <c r="T12" s="1">
        <v>73</v>
      </c>
      <c r="U12" s="1">
        <v>13</v>
      </c>
      <c r="V12" s="1">
        <v>3</v>
      </c>
      <c r="W12" s="11">
        <v>0</v>
      </c>
      <c r="X12" s="10">
        <v>0</v>
      </c>
      <c r="Y12" s="1">
        <v>20</v>
      </c>
      <c r="Z12" s="1">
        <v>102</v>
      </c>
      <c r="AA12" s="1">
        <v>70</v>
      </c>
      <c r="AB12" s="1">
        <v>63</v>
      </c>
      <c r="AC12" s="1">
        <v>67</v>
      </c>
      <c r="AD12" s="1">
        <v>72</v>
      </c>
      <c r="AE12" s="1">
        <v>76</v>
      </c>
      <c r="AF12" s="1">
        <v>77</v>
      </c>
      <c r="AG12" s="1">
        <v>74</v>
      </c>
      <c r="AH12" s="1">
        <v>66</v>
      </c>
      <c r="AI12" s="1">
        <v>66</v>
      </c>
      <c r="AJ12" s="1">
        <v>99</v>
      </c>
      <c r="AK12" s="1">
        <v>92</v>
      </c>
      <c r="AL12" s="1">
        <v>58</v>
      </c>
      <c r="AM12" s="1">
        <v>57</v>
      </c>
      <c r="AN12" s="1">
        <v>83</v>
      </c>
      <c r="AO12" s="1">
        <v>30</v>
      </c>
      <c r="AP12" s="1">
        <v>2</v>
      </c>
      <c r="AQ12" s="11">
        <v>0</v>
      </c>
      <c r="AR12" s="10">
        <v>0</v>
      </c>
      <c r="AS12" s="1">
        <v>0</v>
      </c>
      <c r="AT12" s="1">
        <v>53</v>
      </c>
      <c r="AU12" s="1">
        <v>94</v>
      </c>
      <c r="AV12" s="1">
        <v>58</v>
      </c>
      <c r="AW12" s="1">
        <v>55</v>
      </c>
      <c r="AX12" s="1">
        <v>59</v>
      </c>
      <c r="AY12" s="1">
        <v>67</v>
      </c>
      <c r="AZ12" s="1">
        <v>69</v>
      </c>
      <c r="BA12" s="1">
        <v>66</v>
      </c>
      <c r="BB12" s="1">
        <v>66</v>
      </c>
      <c r="BC12" s="1">
        <v>61</v>
      </c>
      <c r="BD12" s="1">
        <v>68</v>
      </c>
      <c r="BE12" s="1">
        <v>71</v>
      </c>
      <c r="BF12" s="1">
        <v>54</v>
      </c>
      <c r="BG12" s="1">
        <v>52</v>
      </c>
      <c r="BH12" s="1">
        <v>73</v>
      </c>
      <c r="BI12" s="1">
        <v>13</v>
      </c>
      <c r="BJ12" s="1">
        <v>3</v>
      </c>
      <c r="BK12" s="11">
        <v>0</v>
      </c>
      <c r="BL12" s="10">
        <v>5</v>
      </c>
      <c r="BM12" s="1">
        <v>5</v>
      </c>
      <c r="BN12" s="1">
        <v>4</v>
      </c>
      <c r="BO12" s="1">
        <v>14</v>
      </c>
      <c r="BP12" s="1">
        <v>96</v>
      </c>
      <c r="BQ12" s="1">
        <v>79</v>
      </c>
      <c r="BR12" s="1">
        <v>82</v>
      </c>
      <c r="BS12" s="1">
        <v>70</v>
      </c>
      <c r="BT12" s="1">
        <v>70</v>
      </c>
      <c r="BU12" s="1">
        <v>81</v>
      </c>
      <c r="BV12" s="1">
        <v>81</v>
      </c>
      <c r="BW12" s="1">
        <v>79</v>
      </c>
      <c r="BX12" s="1">
        <v>79</v>
      </c>
      <c r="BY12" s="1">
        <v>79</v>
      </c>
      <c r="BZ12" s="1">
        <v>76</v>
      </c>
      <c r="CA12" s="1">
        <v>66</v>
      </c>
      <c r="CB12" s="1">
        <v>57</v>
      </c>
      <c r="CC12" s="1">
        <v>93</v>
      </c>
      <c r="CD12" s="1">
        <v>88</v>
      </c>
      <c r="CE12" s="11">
        <v>1</v>
      </c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</row>
    <row r="13" spans="1:108" ht="17" customHeight="1" x14ac:dyDescent="0.2">
      <c r="A13" s="66"/>
      <c r="C13" s="68"/>
      <c r="D13" s="10">
        <v>0</v>
      </c>
      <c r="E13" s="1">
        <v>0</v>
      </c>
      <c r="F13" s="1">
        <v>77</v>
      </c>
      <c r="G13" s="1">
        <v>81</v>
      </c>
      <c r="H13" s="1">
        <v>54</v>
      </c>
      <c r="I13" s="1">
        <v>61</v>
      </c>
      <c r="J13" s="1">
        <v>68</v>
      </c>
      <c r="K13" s="1">
        <v>72</v>
      </c>
      <c r="L13" s="1">
        <v>72</v>
      </c>
      <c r="M13" s="1">
        <v>69</v>
      </c>
      <c r="N13" s="1">
        <v>67</v>
      </c>
      <c r="O13" s="1">
        <v>81</v>
      </c>
      <c r="P13" s="1">
        <v>100</v>
      </c>
      <c r="Q13" s="1">
        <v>96</v>
      </c>
      <c r="R13" s="1">
        <v>54</v>
      </c>
      <c r="S13" s="1">
        <v>12</v>
      </c>
      <c r="T13" s="1">
        <v>65</v>
      </c>
      <c r="U13" s="1">
        <v>26</v>
      </c>
      <c r="V13" s="1">
        <v>2</v>
      </c>
      <c r="W13" s="11">
        <v>0</v>
      </c>
      <c r="X13" s="10">
        <v>0</v>
      </c>
      <c r="Y13" s="1">
        <v>50</v>
      </c>
      <c r="Z13" s="1">
        <v>101</v>
      </c>
      <c r="AA13" s="1">
        <v>62</v>
      </c>
      <c r="AB13" s="1">
        <v>68</v>
      </c>
      <c r="AC13" s="1">
        <v>73</v>
      </c>
      <c r="AD13" s="1">
        <v>77</v>
      </c>
      <c r="AE13" s="1">
        <v>62</v>
      </c>
      <c r="AF13" s="1">
        <v>60</v>
      </c>
      <c r="AG13" s="1">
        <v>74</v>
      </c>
      <c r="AH13" s="1">
        <v>63</v>
      </c>
      <c r="AI13" s="1">
        <v>94</v>
      </c>
      <c r="AJ13" s="1">
        <v>120</v>
      </c>
      <c r="AK13" s="1">
        <v>106</v>
      </c>
      <c r="AL13" s="1">
        <v>70</v>
      </c>
      <c r="AM13" s="1">
        <v>49</v>
      </c>
      <c r="AN13" s="1">
        <v>73</v>
      </c>
      <c r="AO13" s="1">
        <v>63</v>
      </c>
      <c r="AP13" s="1">
        <v>0</v>
      </c>
      <c r="AQ13" s="11">
        <v>0</v>
      </c>
      <c r="AR13" s="10">
        <v>0</v>
      </c>
      <c r="AS13" s="1">
        <v>0</v>
      </c>
      <c r="AT13" s="1">
        <v>77</v>
      </c>
      <c r="AU13" s="1">
        <v>81</v>
      </c>
      <c r="AV13" s="1">
        <v>54</v>
      </c>
      <c r="AW13" s="1">
        <v>61</v>
      </c>
      <c r="AX13" s="1">
        <v>68</v>
      </c>
      <c r="AY13" s="1">
        <v>72</v>
      </c>
      <c r="AZ13" s="1">
        <v>72</v>
      </c>
      <c r="BA13" s="1">
        <v>69</v>
      </c>
      <c r="BB13" s="1">
        <v>67</v>
      </c>
      <c r="BC13" s="1">
        <v>81</v>
      </c>
      <c r="BD13" s="1">
        <v>100</v>
      </c>
      <c r="BE13" s="1">
        <v>96</v>
      </c>
      <c r="BF13" s="1">
        <v>54</v>
      </c>
      <c r="BG13" s="1">
        <v>12</v>
      </c>
      <c r="BH13" s="1">
        <v>65</v>
      </c>
      <c r="BI13" s="1">
        <v>26</v>
      </c>
      <c r="BJ13" s="1">
        <v>2</v>
      </c>
      <c r="BK13" s="11">
        <v>0</v>
      </c>
      <c r="BL13" s="10">
        <v>5</v>
      </c>
      <c r="BM13" s="1">
        <v>5</v>
      </c>
      <c r="BN13" s="1">
        <v>1</v>
      </c>
      <c r="BO13" s="1">
        <v>73</v>
      </c>
      <c r="BP13" s="1">
        <v>98</v>
      </c>
      <c r="BQ13" s="1">
        <v>71</v>
      </c>
      <c r="BR13" s="1">
        <v>74</v>
      </c>
      <c r="BS13" s="1">
        <v>70</v>
      </c>
      <c r="BT13" s="1">
        <v>77</v>
      </c>
      <c r="BU13" s="1">
        <v>80</v>
      </c>
      <c r="BV13" s="1">
        <v>74</v>
      </c>
      <c r="BW13" s="1">
        <v>73</v>
      </c>
      <c r="BX13" s="1">
        <v>76</v>
      </c>
      <c r="BY13" s="1">
        <v>82</v>
      </c>
      <c r="BZ13" s="1">
        <v>74</v>
      </c>
      <c r="CA13" s="1">
        <v>71</v>
      </c>
      <c r="CB13" s="1">
        <v>64</v>
      </c>
      <c r="CC13" s="1">
        <v>61</v>
      </c>
      <c r="CD13" s="1">
        <v>112</v>
      </c>
      <c r="CE13" s="11">
        <v>10</v>
      </c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</row>
    <row r="14" spans="1:108" ht="17" customHeight="1" x14ac:dyDescent="0.2">
      <c r="A14" s="66"/>
      <c r="C14" s="68"/>
      <c r="D14" s="10">
        <v>0</v>
      </c>
      <c r="E14" s="1">
        <v>0</v>
      </c>
      <c r="F14" s="1">
        <v>91</v>
      </c>
      <c r="G14" s="1">
        <v>66</v>
      </c>
      <c r="H14" s="1">
        <v>60</v>
      </c>
      <c r="I14" s="1">
        <v>65</v>
      </c>
      <c r="J14" s="1">
        <v>73</v>
      </c>
      <c r="K14" s="1">
        <v>74</v>
      </c>
      <c r="L14" s="1">
        <v>72</v>
      </c>
      <c r="M14" s="1">
        <v>69</v>
      </c>
      <c r="N14" s="1">
        <v>70</v>
      </c>
      <c r="O14" s="1">
        <v>88</v>
      </c>
      <c r="P14" s="1">
        <v>71</v>
      </c>
      <c r="Q14" s="1">
        <v>93</v>
      </c>
      <c r="R14" s="1">
        <v>91</v>
      </c>
      <c r="S14" s="1">
        <v>49</v>
      </c>
      <c r="T14" s="1">
        <v>108</v>
      </c>
      <c r="U14" s="1">
        <v>34</v>
      </c>
      <c r="V14" s="1">
        <v>1</v>
      </c>
      <c r="W14" s="11">
        <v>0</v>
      </c>
      <c r="X14" s="10">
        <v>0</v>
      </c>
      <c r="Y14" s="1">
        <v>82</v>
      </c>
      <c r="Z14" s="1">
        <v>102</v>
      </c>
      <c r="AA14" s="1">
        <v>65</v>
      </c>
      <c r="AB14" s="1">
        <v>69</v>
      </c>
      <c r="AC14" s="1">
        <v>77</v>
      </c>
      <c r="AD14" s="1">
        <v>78</v>
      </c>
      <c r="AE14" s="1">
        <v>68</v>
      </c>
      <c r="AF14" s="1">
        <v>63</v>
      </c>
      <c r="AG14" s="1">
        <v>81</v>
      </c>
      <c r="AH14" s="1">
        <v>75</v>
      </c>
      <c r="AI14" s="1">
        <v>118</v>
      </c>
      <c r="AJ14" s="1">
        <v>79</v>
      </c>
      <c r="AK14" s="1">
        <v>91</v>
      </c>
      <c r="AL14" s="1">
        <v>96</v>
      </c>
      <c r="AM14" s="1">
        <v>68</v>
      </c>
      <c r="AN14" s="1">
        <v>71</v>
      </c>
      <c r="AO14" s="1">
        <v>83</v>
      </c>
      <c r="AP14" s="1">
        <v>2</v>
      </c>
      <c r="AQ14" s="11">
        <v>0</v>
      </c>
      <c r="AR14" s="10">
        <v>0</v>
      </c>
      <c r="AS14" s="1">
        <v>0</v>
      </c>
      <c r="AT14" s="1">
        <v>91</v>
      </c>
      <c r="AU14" s="1">
        <v>66</v>
      </c>
      <c r="AV14" s="1">
        <v>60</v>
      </c>
      <c r="AW14" s="1">
        <v>65</v>
      </c>
      <c r="AX14" s="1">
        <v>73</v>
      </c>
      <c r="AY14" s="1">
        <v>74</v>
      </c>
      <c r="AZ14" s="1">
        <v>72</v>
      </c>
      <c r="BA14" s="1">
        <v>69</v>
      </c>
      <c r="BB14" s="1">
        <v>70</v>
      </c>
      <c r="BC14" s="1">
        <v>88</v>
      </c>
      <c r="BD14" s="1">
        <v>71</v>
      </c>
      <c r="BE14" s="1">
        <v>93</v>
      </c>
      <c r="BF14" s="1">
        <v>91</v>
      </c>
      <c r="BG14" s="1">
        <v>49</v>
      </c>
      <c r="BH14" s="1">
        <v>108</v>
      </c>
      <c r="BI14" s="1">
        <v>34</v>
      </c>
      <c r="BJ14" s="1">
        <v>1</v>
      </c>
      <c r="BK14" s="11">
        <v>0</v>
      </c>
      <c r="BL14" s="10">
        <v>5</v>
      </c>
      <c r="BM14" s="1">
        <v>3</v>
      </c>
      <c r="BN14" s="1">
        <v>22</v>
      </c>
      <c r="BO14" s="1">
        <v>122</v>
      </c>
      <c r="BP14" s="1">
        <v>95</v>
      </c>
      <c r="BQ14" s="1">
        <v>70</v>
      </c>
      <c r="BR14" s="1">
        <v>69</v>
      </c>
      <c r="BS14" s="1">
        <v>71</v>
      </c>
      <c r="BT14" s="1">
        <v>73</v>
      </c>
      <c r="BU14" s="1">
        <v>70</v>
      </c>
      <c r="BV14" s="1">
        <v>70</v>
      </c>
      <c r="BW14" s="1">
        <v>80</v>
      </c>
      <c r="BX14" s="1">
        <v>76</v>
      </c>
      <c r="BY14" s="1">
        <v>75</v>
      </c>
      <c r="BZ14" s="1">
        <v>74</v>
      </c>
      <c r="CA14" s="1">
        <v>76</v>
      </c>
      <c r="CB14" s="1">
        <v>70</v>
      </c>
      <c r="CC14" s="1">
        <v>53</v>
      </c>
      <c r="CD14" s="1">
        <v>116</v>
      </c>
      <c r="CE14" s="11">
        <v>18</v>
      </c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</row>
    <row r="15" spans="1:108" ht="17" customHeight="1" x14ac:dyDescent="0.2">
      <c r="A15" s="66"/>
      <c r="C15" s="68"/>
      <c r="D15" s="10">
        <v>0</v>
      </c>
      <c r="E15" s="1">
        <v>0</v>
      </c>
      <c r="F15" s="1">
        <v>106</v>
      </c>
      <c r="G15" s="1">
        <v>67</v>
      </c>
      <c r="H15" s="1">
        <v>62</v>
      </c>
      <c r="I15" s="1">
        <v>68</v>
      </c>
      <c r="J15" s="1">
        <v>72</v>
      </c>
      <c r="K15" s="1">
        <v>72</v>
      </c>
      <c r="L15" s="1">
        <v>72</v>
      </c>
      <c r="M15" s="1">
        <v>70</v>
      </c>
      <c r="N15" s="1">
        <v>67</v>
      </c>
      <c r="O15" s="1">
        <v>92</v>
      </c>
      <c r="P15" s="1">
        <v>106</v>
      </c>
      <c r="Q15" s="1">
        <v>96</v>
      </c>
      <c r="R15" s="1">
        <v>79</v>
      </c>
      <c r="S15" s="1">
        <v>56</v>
      </c>
      <c r="T15" s="1">
        <v>113</v>
      </c>
      <c r="U15" s="1">
        <v>36</v>
      </c>
      <c r="V15" s="1">
        <v>0</v>
      </c>
      <c r="W15" s="11">
        <v>0</v>
      </c>
      <c r="X15" s="10">
        <v>0</v>
      </c>
      <c r="Y15" s="1">
        <v>97</v>
      </c>
      <c r="Z15" s="1">
        <v>83</v>
      </c>
      <c r="AA15" s="1">
        <v>65</v>
      </c>
      <c r="AB15" s="1">
        <v>71</v>
      </c>
      <c r="AC15" s="1">
        <v>77</v>
      </c>
      <c r="AD15" s="1">
        <v>78</v>
      </c>
      <c r="AE15" s="1">
        <v>84</v>
      </c>
      <c r="AF15" s="1">
        <v>78</v>
      </c>
      <c r="AG15" s="1">
        <v>81</v>
      </c>
      <c r="AH15" s="1">
        <v>69</v>
      </c>
      <c r="AI15" s="1">
        <v>120</v>
      </c>
      <c r="AJ15" s="1">
        <v>82</v>
      </c>
      <c r="AK15" s="1">
        <v>72</v>
      </c>
      <c r="AL15" s="1">
        <v>108</v>
      </c>
      <c r="AM15" s="1">
        <v>104</v>
      </c>
      <c r="AN15" s="1">
        <v>65</v>
      </c>
      <c r="AO15" s="1">
        <v>104</v>
      </c>
      <c r="AP15" s="1">
        <v>9</v>
      </c>
      <c r="AQ15" s="11">
        <v>0</v>
      </c>
      <c r="AR15" s="10">
        <v>0</v>
      </c>
      <c r="AS15" s="1">
        <v>0</v>
      </c>
      <c r="AT15" s="1">
        <v>106</v>
      </c>
      <c r="AU15" s="1">
        <v>67</v>
      </c>
      <c r="AV15" s="1">
        <v>62</v>
      </c>
      <c r="AW15" s="1">
        <v>68</v>
      </c>
      <c r="AX15" s="1">
        <v>72</v>
      </c>
      <c r="AY15" s="1">
        <v>72</v>
      </c>
      <c r="AZ15" s="1">
        <v>72</v>
      </c>
      <c r="BA15" s="1">
        <v>70</v>
      </c>
      <c r="BB15" s="1">
        <v>67</v>
      </c>
      <c r="BC15" s="1">
        <v>92</v>
      </c>
      <c r="BD15" s="1">
        <v>106</v>
      </c>
      <c r="BE15" s="1">
        <v>96</v>
      </c>
      <c r="BF15" s="1">
        <v>79</v>
      </c>
      <c r="BG15" s="1">
        <v>56</v>
      </c>
      <c r="BH15" s="1">
        <v>113</v>
      </c>
      <c r="BI15" s="1">
        <v>36</v>
      </c>
      <c r="BJ15" s="1">
        <v>0</v>
      </c>
      <c r="BK15" s="11">
        <v>0</v>
      </c>
      <c r="BL15" s="10">
        <v>5</v>
      </c>
      <c r="BM15" s="1">
        <v>3</v>
      </c>
      <c r="BN15" s="1">
        <v>68</v>
      </c>
      <c r="BO15" s="1">
        <v>86</v>
      </c>
      <c r="BP15" s="1">
        <v>86</v>
      </c>
      <c r="BQ15" s="1">
        <v>72</v>
      </c>
      <c r="BR15" s="1">
        <v>75</v>
      </c>
      <c r="BS15" s="1">
        <v>87</v>
      </c>
      <c r="BT15" s="1">
        <v>70</v>
      </c>
      <c r="BU15" s="1">
        <v>72</v>
      </c>
      <c r="BV15" s="1">
        <v>80</v>
      </c>
      <c r="BW15" s="1">
        <v>86</v>
      </c>
      <c r="BX15" s="1">
        <v>88</v>
      </c>
      <c r="BY15" s="1">
        <v>64</v>
      </c>
      <c r="BZ15" s="1">
        <v>24</v>
      </c>
      <c r="CA15" s="1">
        <v>64</v>
      </c>
      <c r="CB15" s="1">
        <v>73</v>
      </c>
      <c r="CC15" s="1">
        <v>50</v>
      </c>
      <c r="CD15" s="1">
        <v>118</v>
      </c>
      <c r="CE15" s="11">
        <v>25</v>
      </c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</row>
    <row r="16" spans="1:108" ht="17" customHeight="1" x14ac:dyDescent="0.2">
      <c r="A16" s="66"/>
      <c r="C16" s="68"/>
      <c r="D16" s="10">
        <v>0</v>
      </c>
      <c r="E16" s="1">
        <v>0</v>
      </c>
      <c r="F16" s="1">
        <v>111</v>
      </c>
      <c r="G16" s="1">
        <v>72</v>
      </c>
      <c r="H16" s="1">
        <v>59</v>
      </c>
      <c r="I16" s="1">
        <v>69</v>
      </c>
      <c r="J16" s="1">
        <v>69</v>
      </c>
      <c r="K16" s="1">
        <v>73</v>
      </c>
      <c r="L16" s="1">
        <v>75</v>
      </c>
      <c r="M16" s="1">
        <v>76</v>
      </c>
      <c r="N16" s="1">
        <v>71</v>
      </c>
      <c r="O16" s="1">
        <v>69</v>
      </c>
      <c r="P16" s="1">
        <v>74</v>
      </c>
      <c r="Q16" s="1">
        <v>77</v>
      </c>
      <c r="R16" s="1">
        <v>70</v>
      </c>
      <c r="S16" s="1">
        <v>47</v>
      </c>
      <c r="T16" s="1">
        <v>107</v>
      </c>
      <c r="U16" s="1">
        <v>34</v>
      </c>
      <c r="V16" s="1">
        <v>0</v>
      </c>
      <c r="W16" s="11">
        <v>0</v>
      </c>
      <c r="X16" s="10">
        <v>0</v>
      </c>
      <c r="Y16" s="1">
        <v>96</v>
      </c>
      <c r="Z16" s="1">
        <v>62</v>
      </c>
      <c r="AA16" s="1">
        <v>66</v>
      </c>
      <c r="AB16" s="1">
        <v>72</v>
      </c>
      <c r="AC16" s="1">
        <v>79</v>
      </c>
      <c r="AD16" s="1">
        <v>81</v>
      </c>
      <c r="AE16" s="1">
        <v>80</v>
      </c>
      <c r="AF16" s="1">
        <v>78</v>
      </c>
      <c r="AG16" s="1">
        <v>76</v>
      </c>
      <c r="AH16" s="1">
        <v>66</v>
      </c>
      <c r="AI16" s="1">
        <v>105</v>
      </c>
      <c r="AJ16" s="1">
        <v>106</v>
      </c>
      <c r="AK16" s="1">
        <v>78</v>
      </c>
      <c r="AL16" s="1">
        <v>72</v>
      </c>
      <c r="AM16" s="1">
        <v>87</v>
      </c>
      <c r="AN16" s="1">
        <v>54</v>
      </c>
      <c r="AO16" s="1">
        <v>116</v>
      </c>
      <c r="AP16" s="1">
        <v>18</v>
      </c>
      <c r="AQ16" s="11">
        <v>0</v>
      </c>
      <c r="AR16" s="10">
        <v>0</v>
      </c>
      <c r="AS16" s="1">
        <v>0</v>
      </c>
      <c r="AT16" s="1">
        <v>111</v>
      </c>
      <c r="AU16" s="1">
        <v>72</v>
      </c>
      <c r="AV16" s="1">
        <v>59</v>
      </c>
      <c r="AW16" s="1">
        <v>69</v>
      </c>
      <c r="AX16" s="1">
        <v>69</v>
      </c>
      <c r="AY16" s="1">
        <v>73</v>
      </c>
      <c r="AZ16" s="1">
        <v>75</v>
      </c>
      <c r="BA16" s="1">
        <v>76</v>
      </c>
      <c r="BB16" s="1">
        <v>71</v>
      </c>
      <c r="BC16" s="1">
        <v>69</v>
      </c>
      <c r="BD16" s="1">
        <v>74</v>
      </c>
      <c r="BE16" s="1">
        <v>77</v>
      </c>
      <c r="BF16" s="1">
        <v>70</v>
      </c>
      <c r="BG16" s="1">
        <v>47</v>
      </c>
      <c r="BH16" s="1">
        <v>107</v>
      </c>
      <c r="BI16" s="1">
        <v>34</v>
      </c>
      <c r="BJ16" s="1">
        <v>0</v>
      </c>
      <c r="BK16" s="11">
        <v>0</v>
      </c>
      <c r="BL16" s="10">
        <v>4</v>
      </c>
      <c r="BM16" s="1">
        <v>7</v>
      </c>
      <c r="BN16" s="1">
        <v>84</v>
      </c>
      <c r="BO16" s="1">
        <v>64</v>
      </c>
      <c r="BP16" s="1">
        <v>69</v>
      </c>
      <c r="BQ16" s="1">
        <v>84</v>
      </c>
      <c r="BR16" s="1">
        <v>73</v>
      </c>
      <c r="BS16" s="1">
        <v>68</v>
      </c>
      <c r="BT16" s="1">
        <v>73</v>
      </c>
      <c r="BU16" s="1">
        <v>78</v>
      </c>
      <c r="BV16" s="1">
        <v>69</v>
      </c>
      <c r="BW16" s="1">
        <v>73</v>
      </c>
      <c r="BX16" s="1">
        <v>92</v>
      </c>
      <c r="BY16" s="1">
        <v>66</v>
      </c>
      <c r="BZ16" s="1">
        <v>36</v>
      </c>
      <c r="CA16" s="1">
        <v>64</v>
      </c>
      <c r="CB16" s="1">
        <v>70</v>
      </c>
      <c r="CC16" s="1">
        <v>53</v>
      </c>
      <c r="CD16" s="1">
        <v>125</v>
      </c>
      <c r="CE16" s="11">
        <v>23</v>
      </c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</row>
    <row r="17" spans="1:108" ht="17" customHeight="1" x14ac:dyDescent="0.2">
      <c r="A17" s="66"/>
      <c r="C17" s="68"/>
      <c r="D17" s="10">
        <v>0</v>
      </c>
      <c r="E17" s="1">
        <v>1</v>
      </c>
      <c r="F17" s="1">
        <v>113</v>
      </c>
      <c r="G17" s="1">
        <v>76</v>
      </c>
      <c r="H17" s="1">
        <v>62</v>
      </c>
      <c r="I17" s="1">
        <v>66</v>
      </c>
      <c r="J17" s="1">
        <v>70</v>
      </c>
      <c r="K17" s="1">
        <v>73</v>
      </c>
      <c r="L17" s="1">
        <v>74</v>
      </c>
      <c r="M17" s="1">
        <v>72</v>
      </c>
      <c r="N17" s="1">
        <v>69</v>
      </c>
      <c r="O17" s="1">
        <v>69</v>
      </c>
      <c r="P17" s="1">
        <v>59</v>
      </c>
      <c r="Q17" s="1">
        <v>56</v>
      </c>
      <c r="R17" s="1">
        <v>57</v>
      </c>
      <c r="S17" s="1">
        <v>55</v>
      </c>
      <c r="T17" s="1">
        <v>105</v>
      </c>
      <c r="U17" s="1">
        <v>29</v>
      </c>
      <c r="V17" s="1">
        <v>0</v>
      </c>
      <c r="W17" s="11">
        <v>0</v>
      </c>
      <c r="X17" s="10">
        <v>0</v>
      </c>
      <c r="Y17" s="1">
        <v>96</v>
      </c>
      <c r="Z17" s="1">
        <v>63</v>
      </c>
      <c r="AA17" s="1">
        <v>63</v>
      </c>
      <c r="AB17" s="1">
        <v>74</v>
      </c>
      <c r="AC17" s="1">
        <v>79</v>
      </c>
      <c r="AD17" s="1">
        <v>77</v>
      </c>
      <c r="AE17" s="1">
        <v>77</v>
      </c>
      <c r="AF17" s="1">
        <v>74</v>
      </c>
      <c r="AG17" s="1">
        <v>70</v>
      </c>
      <c r="AH17" s="1">
        <v>64</v>
      </c>
      <c r="AI17" s="1">
        <v>74</v>
      </c>
      <c r="AJ17" s="1">
        <v>97</v>
      </c>
      <c r="AK17" s="1">
        <v>85</v>
      </c>
      <c r="AL17" s="1">
        <v>70</v>
      </c>
      <c r="AM17" s="1">
        <v>91</v>
      </c>
      <c r="AN17" s="1">
        <v>45</v>
      </c>
      <c r="AO17" s="1">
        <v>96</v>
      </c>
      <c r="AP17" s="1">
        <v>16</v>
      </c>
      <c r="AQ17" s="11">
        <v>0</v>
      </c>
      <c r="AR17" s="10">
        <v>0</v>
      </c>
      <c r="AS17" s="1">
        <v>1</v>
      </c>
      <c r="AT17" s="1">
        <v>113</v>
      </c>
      <c r="AU17" s="1">
        <v>76</v>
      </c>
      <c r="AV17" s="1">
        <v>62</v>
      </c>
      <c r="AW17" s="1">
        <v>66</v>
      </c>
      <c r="AX17" s="1">
        <v>70</v>
      </c>
      <c r="AY17" s="1">
        <v>73</v>
      </c>
      <c r="AZ17" s="1">
        <v>74</v>
      </c>
      <c r="BA17" s="1">
        <v>72</v>
      </c>
      <c r="BB17" s="1">
        <v>69</v>
      </c>
      <c r="BC17" s="1">
        <v>69</v>
      </c>
      <c r="BD17" s="1">
        <v>59</v>
      </c>
      <c r="BE17" s="1">
        <v>56</v>
      </c>
      <c r="BF17" s="1">
        <v>57</v>
      </c>
      <c r="BG17" s="1">
        <v>55</v>
      </c>
      <c r="BH17" s="1">
        <v>105</v>
      </c>
      <c r="BI17" s="1">
        <v>29</v>
      </c>
      <c r="BJ17" s="1">
        <v>0</v>
      </c>
      <c r="BK17" s="11">
        <v>0</v>
      </c>
      <c r="BL17" s="10">
        <v>5</v>
      </c>
      <c r="BM17" s="1">
        <v>5</v>
      </c>
      <c r="BN17" s="1">
        <v>68</v>
      </c>
      <c r="BO17" s="1">
        <v>103</v>
      </c>
      <c r="BP17" s="1">
        <v>97</v>
      </c>
      <c r="BQ17" s="1">
        <v>64</v>
      </c>
      <c r="BR17" s="1">
        <v>83</v>
      </c>
      <c r="BS17" s="1">
        <v>82</v>
      </c>
      <c r="BT17" s="1">
        <v>76</v>
      </c>
      <c r="BU17" s="1">
        <v>77</v>
      </c>
      <c r="BV17" s="1">
        <v>73</v>
      </c>
      <c r="BW17" s="1">
        <v>72</v>
      </c>
      <c r="BX17" s="1">
        <v>69</v>
      </c>
      <c r="BY17" s="1">
        <v>74</v>
      </c>
      <c r="BZ17" s="1">
        <v>80</v>
      </c>
      <c r="CA17" s="1">
        <v>85</v>
      </c>
      <c r="CB17" s="1">
        <v>66</v>
      </c>
      <c r="CC17" s="1">
        <v>51</v>
      </c>
      <c r="CD17" s="1">
        <v>125</v>
      </c>
      <c r="CE17" s="11">
        <v>13</v>
      </c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</row>
    <row r="18" spans="1:108" ht="17" customHeight="1" x14ac:dyDescent="0.2">
      <c r="A18" s="66"/>
      <c r="C18" s="68"/>
      <c r="D18" s="10">
        <v>0</v>
      </c>
      <c r="E18" s="1">
        <v>3</v>
      </c>
      <c r="F18" s="1">
        <v>96</v>
      </c>
      <c r="G18" s="1">
        <v>62</v>
      </c>
      <c r="H18" s="1">
        <v>92</v>
      </c>
      <c r="I18" s="1">
        <v>72</v>
      </c>
      <c r="J18" s="1">
        <v>70</v>
      </c>
      <c r="K18" s="1">
        <v>74</v>
      </c>
      <c r="L18" s="1">
        <v>75</v>
      </c>
      <c r="M18" s="1">
        <v>71</v>
      </c>
      <c r="N18" s="1">
        <v>71</v>
      </c>
      <c r="O18" s="1">
        <v>72</v>
      </c>
      <c r="P18" s="1">
        <v>67</v>
      </c>
      <c r="Q18" s="1">
        <v>62</v>
      </c>
      <c r="R18" s="1">
        <v>68</v>
      </c>
      <c r="S18" s="1">
        <v>42</v>
      </c>
      <c r="T18" s="1">
        <v>98</v>
      </c>
      <c r="U18" s="1">
        <v>24</v>
      </c>
      <c r="V18" s="1">
        <v>4</v>
      </c>
      <c r="W18" s="11">
        <v>0</v>
      </c>
      <c r="X18" s="10">
        <v>0</v>
      </c>
      <c r="Y18" s="1">
        <v>87</v>
      </c>
      <c r="Z18" s="1">
        <v>74</v>
      </c>
      <c r="AA18" s="1">
        <v>54</v>
      </c>
      <c r="AB18" s="1">
        <v>57</v>
      </c>
      <c r="AC18" s="1">
        <v>68</v>
      </c>
      <c r="AD18" s="1">
        <v>76</v>
      </c>
      <c r="AE18" s="1">
        <v>81</v>
      </c>
      <c r="AF18" s="1">
        <v>73</v>
      </c>
      <c r="AG18" s="1">
        <v>66</v>
      </c>
      <c r="AH18" s="1">
        <v>66</v>
      </c>
      <c r="AI18" s="1">
        <v>66</v>
      </c>
      <c r="AJ18" s="1">
        <v>62</v>
      </c>
      <c r="AK18" s="1">
        <v>73</v>
      </c>
      <c r="AL18" s="1">
        <v>82</v>
      </c>
      <c r="AM18" s="1">
        <v>67</v>
      </c>
      <c r="AN18" s="1">
        <v>58</v>
      </c>
      <c r="AO18" s="1">
        <v>89</v>
      </c>
      <c r="AP18" s="1">
        <v>33</v>
      </c>
      <c r="AQ18" s="11">
        <v>0</v>
      </c>
      <c r="AR18" s="10">
        <v>0</v>
      </c>
      <c r="AS18" s="1">
        <v>3</v>
      </c>
      <c r="AT18" s="1">
        <v>96</v>
      </c>
      <c r="AU18" s="1">
        <v>62</v>
      </c>
      <c r="AV18" s="1">
        <v>92</v>
      </c>
      <c r="AW18" s="1">
        <v>72</v>
      </c>
      <c r="AX18" s="1">
        <v>70</v>
      </c>
      <c r="AY18" s="1">
        <v>74</v>
      </c>
      <c r="AZ18" s="1">
        <v>75</v>
      </c>
      <c r="BA18" s="1">
        <v>71</v>
      </c>
      <c r="BB18" s="1">
        <v>71</v>
      </c>
      <c r="BC18" s="1">
        <v>72</v>
      </c>
      <c r="BD18" s="1">
        <v>67</v>
      </c>
      <c r="BE18" s="1">
        <v>62</v>
      </c>
      <c r="BF18" s="1">
        <v>68</v>
      </c>
      <c r="BG18" s="1">
        <v>42</v>
      </c>
      <c r="BH18" s="1">
        <v>98</v>
      </c>
      <c r="BI18" s="1">
        <v>24</v>
      </c>
      <c r="BJ18" s="1">
        <v>4</v>
      </c>
      <c r="BK18" s="11">
        <v>0</v>
      </c>
      <c r="BL18" s="10">
        <v>4</v>
      </c>
      <c r="BM18" s="1">
        <v>9</v>
      </c>
      <c r="BN18" s="1">
        <v>82</v>
      </c>
      <c r="BO18" s="1">
        <v>104</v>
      </c>
      <c r="BP18" s="1">
        <v>109</v>
      </c>
      <c r="BQ18" s="1">
        <v>56</v>
      </c>
      <c r="BR18" s="1">
        <v>73</v>
      </c>
      <c r="BS18" s="1">
        <v>96</v>
      </c>
      <c r="BT18" s="1">
        <v>87</v>
      </c>
      <c r="BU18" s="1">
        <v>57</v>
      </c>
      <c r="BV18" s="1">
        <v>61</v>
      </c>
      <c r="BW18" s="1">
        <v>40</v>
      </c>
      <c r="BX18" s="1">
        <v>53</v>
      </c>
      <c r="BY18" s="1">
        <v>79</v>
      </c>
      <c r="BZ18" s="1">
        <v>88</v>
      </c>
      <c r="CA18" s="1">
        <v>102</v>
      </c>
      <c r="CB18" s="1">
        <v>49</v>
      </c>
      <c r="CC18" s="1">
        <v>61</v>
      </c>
      <c r="CD18" s="1">
        <v>104</v>
      </c>
      <c r="CE18" s="11">
        <v>3</v>
      </c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</row>
    <row r="19" spans="1:108" ht="17" customHeight="1" x14ac:dyDescent="0.2">
      <c r="A19" s="66"/>
      <c r="C19" s="68"/>
      <c r="D19" s="10">
        <v>0</v>
      </c>
      <c r="E19" s="1">
        <v>2</v>
      </c>
      <c r="F19" s="1">
        <v>90</v>
      </c>
      <c r="G19" s="1">
        <v>47</v>
      </c>
      <c r="H19" s="1">
        <v>63</v>
      </c>
      <c r="I19" s="1">
        <v>65</v>
      </c>
      <c r="J19" s="1">
        <v>70</v>
      </c>
      <c r="K19" s="1">
        <v>73</v>
      </c>
      <c r="L19" s="1">
        <v>76</v>
      </c>
      <c r="M19" s="1">
        <v>78</v>
      </c>
      <c r="N19" s="1">
        <v>74</v>
      </c>
      <c r="O19" s="1">
        <v>72</v>
      </c>
      <c r="P19" s="1">
        <v>69</v>
      </c>
      <c r="Q19" s="1">
        <v>63</v>
      </c>
      <c r="R19" s="1">
        <v>55</v>
      </c>
      <c r="S19" s="1">
        <v>61</v>
      </c>
      <c r="T19" s="1">
        <v>104</v>
      </c>
      <c r="U19" s="1">
        <v>14</v>
      </c>
      <c r="V19" s="1">
        <v>2</v>
      </c>
      <c r="W19" s="11">
        <v>0</v>
      </c>
      <c r="X19" s="10">
        <v>0</v>
      </c>
      <c r="Y19" s="1">
        <v>70</v>
      </c>
      <c r="Z19" s="1">
        <v>49</v>
      </c>
      <c r="AA19" s="1">
        <v>6</v>
      </c>
      <c r="AB19" s="1">
        <v>14</v>
      </c>
      <c r="AC19" s="1">
        <v>63</v>
      </c>
      <c r="AD19" s="1">
        <v>77</v>
      </c>
      <c r="AE19" s="1">
        <v>72</v>
      </c>
      <c r="AF19" s="1">
        <v>70</v>
      </c>
      <c r="AG19" s="1">
        <v>66</v>
      </c>
      <c r="AH19" s="1">
        <v>69</v>
      </c>
      <c r="AI19" s="1">
        <v>66</v>
      </c>
      <c r="AJ19" s="1">
        <v>65</v>
      </c>
      <c r="AK19" s="1">
        <v>53</v>
      </c>
      <c r="AL19" s="1">
        <v>29</v>
      </c>
      <c r="AM19" s="1">
        <v>27</v>
      </c>
      <c r="AN19" s="1">
        <v>33</v>
      </c>
      <c r="AO19" s="1">
        <v>74</v>
      </c>
      <c r="AP19" s="1">
        <v>19</v>
      </c>
      <c r="AQ19" s="11">
        <v>0</v>
      </c>
      <c r="AR19" s="10">
        <v>0</v>
      </c>
      <c r="AS19" s="1">
        <v>2</v>
      </c>
      <c r="AT19" s="1">
        <v>90</v>
      </c>
      <c r="AU19" s="1">
        <v>47</v>
      </c>
      <c r="AV19" s="1">
        <v>63</v>
      </c>
      <c r="AW19" s="1">
        <v>65</v>
      </c>
      <c r="AX19" s="1">
        <v>70</v>
      </c>
      <c r="AY19" s="1">
        <v>73</v>
      </c>
      <c r="AZ19" s="1">
        <v>76</v>
      </c>
      <c r="BA19" s="1">
        <v>78</v>
      </c>
      <c r="BB19" s="1">
        <v>74</v>
      </c>
      <c r="BC19" s="1">
        <v>72</v>
      </c>
      <c r="BD19" s="1">
        <v>69</v>
      </c>
      <c r="BE19" s="1">
        <v>63</v>
      </c>
      <c r="BF19" s="1">
        <v>55</v>
      </c>
      <c r="BG19" s="1">
        <v>61</v>
      </c>
      <c r="BH19" s="1">
        <v>104</v>
      </c>
      <c r="BI19" s="1">
        <v>14</v>
      </c>
      <c r="BJ19" s="1">
        <v>2</v>
      </c>
      <c r="BK19" s="11">
        <v>0</v>
      </c>
      <c r="BL19" s="10">
        <v>2</v>
      </c>
      <c r="BM19" s="1">
        <v>32</v>
      </c>
      <c r="BN19" s="1">
        <v>136</v>
      </c>
      <c r="BO19" s="1">
        <v>115</v>
      </c>
      <c r="BP19" s="1">
        <v>127</v>
      </c>
      <c r="BQ19" s="1">
        <v>52</v>
      </c>
      <c r="BR19" s="1">
        <v>44</v>
      </c>
      <c r="BS19" s="1">
        <v>78</v>
      </c>
      <c r="BT19" s="1">
        <v>70</v>
      </c>
      <c r="BU19" s="1">
        <v>36</v>
      </c>
      <c r="BV19" s="1">
        <v>24</v>
      </c>
      <c r="BW19" s="1">
        <v>6</v>
      </c>
      <c r="BX19" s="1">
        <v>53</v>
      </c>
      <c r="BY19" s="1">
        <v>88</v>
      </c>
      <c r="BZ19" s="1">
        <v>58</v>
      </c>
      <c r="CA19" s="1">
        <v>50</v>
      </c>
      <c r="CB19" s="1">
        <v>27</v>
      </c>
      <c r="CC19" s="1">
        <v>111</v>
      </c>
      <c r="CD19" s="1">
        <v>77</v>
      </c>
      <c r="CE19" s="11">
        <v>0</v>
      </c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</row>
    <row r="20" spans="1:108" ht="17" customHeight="1" x14ac:dyDescent="0.2">
      <c r="A20" s="66"/>
      <c r="C20" s="68"/>
      <c r="D20" s="10">
        <v>0</v>
      </c>
      <c r="E20" s="1">
        <v>0</v>
      </c>
      <c r="F20" s="1">
        <v>107</v>
      </c>
      <c r="G20" s="1">
        <v>80</v>
      </c>
      <c r="H20" s="1">
        <v>38</v>
      </c>
      <c r="I20" s="1">
        <v>63</v>
      </c>
      <c r="J20" s="1">
        <v>68</v>
      </c>
      <c r="K20" s="1">
        <v>73</v>
      </c>
      <c r="L20" s="1">
        <v>71</v>
      </c>
      <c r="M20" s="1">
        <v>65</v>
      </c>
      <c r="N20" s="1">
        <v>66</v>
      </c>
      <c r="O20" s="1">
        <v>73</v>
      </c>
      <c r="P20" s="1">
        <v>69</v>
      </c>
      <c r="Q20" s="1">
        <v>59</v>
      </c>
      <c r="R20" s="1">
        <v>43</v>
      </c>
      <c r="S20" s="1">
        <v>44</v>
      </c>
      <c r="T20" s="1">
        <v>101</v>
      </c>
      <c r="U20" s="1">
        <v>7</v>
      </c>
      <c r="V20" s="1">
        <v>2</v>
      </c>
      <c r="W20" s="11">
        <v>0</v>
      </c>
      <c r="X20" s="10">
        <v>0</v>
      </c>
      <c r="Y20" s="1">
        <v>70</v>
      </c>
      <c r="Z20" s="1">
        <v>56</v>
      </c>
      <c r="AA20" s="1">
        <v>8</v>
      </c>
      <c r="AB20" s="1">
        <v>41</v>
      </c>
      <c r="AC20" s="1">
        <v>57</v>
      </c>
      <c r="AD20" s="1">
        <v>68</v>
      </c>
      <c r="AE20" s="1">
        <v>73</v>
      </c>
      <c r="AF20" s="1">
        <v>69</v>
      </c>
      <c r="AG20" s="1">
        <v>70</v>
      </c>
      <c r="AH20" s="1">
        <v>67</v>
      </c>
      <c r="AI20" s="1">
        <v>68</v>
      </c>
      <c r="AJ20" s="1">
        <v>57</v>
      </c>
      <c r="AK20" s="1">
        <v>47</v>
      </c>
      <c r="AL20" s="1">
        <v>35</v>
      </c>
      <c r="AM20" s="1">
        <v>14</v>
      </c>
      <c r="AN20" s="1">
        <v>34</v>
      </c>
      <c r="AO20" s="1">
        <v>48</v>
      </c>
      <c r="AP20" s="1">
        <v>11</v>
      </c>
      <c r="AQ20" s="11">
        <v>0</v>
      </c>
      <c r="AR20" s="10">
        <v>0</v>
      </c>
      <c r="AS20" s="1">
        <v>0</v>
      </c>
      <c r="AT20" s="1">
        <v>107</v>
      </c>
      <c r="AU20" s="1">
        <v>80</v>
      </c>
      <c r="AV20" s="1">
        <v>38</v>
      </c>
      <c r="AW20" s="1">
        <v>63</v>
      </c>
      <c r="AX20" s="1">
        <v>68</v>
      </c>
      <c r="AY20" s="1">
        <v>73</v>
      </c>
      <c r="AZ20" s="1">
        <v>71</v>
      </c>
      <c r="BA20" s="1">
        <v>65</v>
      </c>
      <c r="BB20" s="1">
        <v>66</v>
      </c>
      <c r="BC20" s="1">
        <v>73</v>
      </c>
      <c r="BD20" s="1">
        <v>69</v>
      </c>
      <c r="BE20" s="1">
        <v>59</v>
      </c>
      <c r="BF20" s="1">
        <v>43</v>
      </c>
      <c r="BG20" s="1">
        <v>44</v>
      </c>
      <c r="BH20" s="1">
        <v>101</v>
      </c>
      <c r="BI20" s="1">
        <v>7</v>
      </c>
      <c r="BJ20" s="1">
        <v>2</v>
      </c>
      <c r="BK20" s="11">
        <v>0</v>
      </c>
      <c r="BL20" s="10">
        <v>0</v>
      </c>
      <c r="BM20" s="1">
        <v>68</v>
      </c>
      <c r="BN20" s="1">
        <v>180</v>
      </c>
      <c r="BO20" s="1">
        <v>112</v>
      </c>
      <c r="BP20" s="1">
        <v>130</v>
      </c>
      <c r="BQ20" s="1">
        <v>63</v>
      </c>
      <c r="BR20" s="1">
        <v>45</v>
      </c>
      <c r="BS20" s="1">
        <v>86</v>
      </c>
      <c r="BT20" s="1">
        <v>91</v>
      </c>
      <c r="BU20" s="1">
        <v>101</v>
      </c>
      <c r="BV20" s="1">
        <v>46</v>
      </c>
      <c r="BW20" s="1">
        <v>10</v>
      </c>
      <c r="BX20" s="1">
        <v>16</v>
      </c>
      <c r="BY20" s="1">
        <v>22</v>
      </c>
      <c r="BZ20" s="1">
        <v>26</v>
      </c>
      <c r="CA20" s="1">
        <v>37</v>
      </c>
      <c r="CB20" s="1">
        <v>68</v>
      </c>
      <c r="CC20" s="1">
        <v>128</v>
      </c>
      <c r="CD20" s="1">
        <v>51</v>
      </c>
      <c r="CE20" s="11">
        <v>1</v>
      </c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</row>
    <row r="21" spans="1:108" ht="17" customHeight="1" x14ac:dyDescent="0.2">
      <c r="A21" s="66"/>
      <c r="C21" s="68"/>
      <c r="D21" s="10">
        <v>0</v>
      </c>
      <c r="E21" s="1">
        <v>0</v>
      </c>
      <c r="F21" s="1">
        <v>75</v>
      </c>
      <c r="G21" s="1">
        <v>115</v>
      </c>
      <c r="H21" s="1">
        <v>41</v>
      </c>
      <c r="I21" s="1">
        <v>55</v>
      </c>
      <c r="J21" s="1">
        <v>63</v>
      </c>
      <c r="K21" s="1">
        <v>63</v>
      </c>
      <c r="L21" s="1">
        <v>49</v>
      </c>
      <c r="M21" s="1">
        <v>39</v>
      </c>
      <c r="N21" s="1">
        <v>41</v>
      </c>
      <c r="O21" s="1">
        <v>62</v>
      </c>
      <c r="P21" s="1">
        <v>63</v>
      </c>
      <c r="Q21" s="1">
        <v>55</v>
      </c>
      <c r="R21" s="1">
        <v>42</v>
      </c>
      <c r="S21" s="1">
        <v>65</v>
      </c>
      <c r="T21" s="1">
        <v>87</v>
      </c>
      <c r="U21" s="1">
        <v>0</v>
      </c>
      <c r="V21" s="1">
        <v>3</v>
      </c>
      <c r="W21" s="11">
        <v>0</v>
      </c>
      <c r="X21" s="10">
        <v>0</v>
      </c>
      <c r="Y21" s="1">
        <v>45</v>
      </c>
      <c r="Z21" s="1">
        <v>68</v>
      </c>
      <c r="AA21" s="1">
        <v>8</v>
      </c>
      <c r="AB21" s="1">
        <v>43</v>
      </c>
      <c r="AC21" s="1">
        <v>77</v>
      </c>
      <c r="AD21" s="1">
        <v>82</v>
      </c>
      <c r="AE21" s="1">
        <v>63</v>
      </c>
      <c r="AF21" s="1">
        <v>64</v>
      </c>
      <c r="AG21" s="1">
        <v>64</v>
      </c>
      <c r="AH21" s="1">
        <v>53</v>
      </c>
      <c r="AI21" s="1">
        <v>62</v>
      </c>
      <c r="AJ21" s="1">
        <v>78</v>
      </c>
      <c r="AK21" s="1">
        <v>57</v>
      </c>
      <c r="AL21" s="1">
        <v>16</v>
      </c>
      <c r="AM21" s="1">
        <v>13</v>
      </c>
      <c r="AN21" s="1">
        <v>64</v>
      </c>
      <c r="AO21" s="1">
        <v>28</v>
      </c>
      <c r="AP21" s="1">
        <v>7</v>
      </c>
      <c r="AQ21" s="11">
        <v>0</v>
      </c>
      <c r="AR21" s="10">
        <v>0</v>
      </c>
      <c r="AS21" s="1">
        <v>0</v>
      </c>
      <c r="AT21" s="1">
        <v>75</v>
      </c>
      <c r="AU21" s="1">
        <v>115</v>
      </c>
      <c r="AV21" s="1">
        <v>41</v>
      </c>
      <c r="AW21" s="1">
        <v>55</v>
      </c>
      <c r="AX21" s="1">
        <v>63</v>
      </c>
      <c r="AY21" s="1">
        <v>63</v>
      </c>
      <c r="AZ21" s="1">
        <v>49</v>
      </c>
      <c r="BA21" s="1">
        <v>39</v>
      </c>
      <c r="BB21" s="1">
        <v>41</v>
      </c>
      <c r="BC21" s="1">
        <v>62</v>
      </c>
      <c r="BD21" s="1">
        <v>63</v>
      </c>
      <c r="BE21" s="1">
        <v>55</v>
      </c>
      <c r="BF21" s="1">
        <v>42</v>
      </c>
      <c r="BG21" s="1">
        <v>65</v>
      </c>
      <c r="BH21" s="1">
        <v>87</v>
      </c>
      <c r="BI21" s="1">
        <v>0</v>
      </c>
      <c r="BJ21" s="1">
        <v>3</v>
      </c>
      <c r="BK21" s="11">
        <v>0</v>
      </c>
      <c r="BL21" s="10">
        <v>2</v>
      </c>
      <c r="BM21" s="1">
        <v>39</v>
      </c>
      <c r="BN21" s="1">
        <v>126</v>
      </c>
      <c r="BO21" s="1">
        <v>73</v>
      </c>
      <c r="BP21" s="1">
        <v>73</v>
      </c>
      <c r="BQ21" s="1">
        <v>62</v>
      </c>
      <c r="BR21" s="1">
        <v>47</v>
      </c>
      <c r="BS21" s="1">
        <v>71</v>
      </c>
      <c r="BT21" s="1">
        <v>79</v>
      </c>
      <c r="BU21" s="1">
        <v>104</v>
      </c>
      <c r="BV21" s="1">
        <v>83</v>
      </c>
      <c r="BW21" s="1">
        <v>19</v>
      </c>
      <c r="BX21" s="1">
        <v>9</v>
      </c>
      <c r="BY21" s="1">
        <v>7</v>
      </c>
      <c r="BZ21" s="1">
        <v>37</v>
      </c>
      <c r="CA21" s="1">
        <v>55</v>
      </c>
      <c r="CB21" s="1">
        <v>90</v>
      </c>
      <c r="CC21" s="1">
        <v>91</v>
      </c>
      <c r="CD21" s="1">
        <v>32</v>
      </c>
      <c r="CE21" s="11">
        <v>2</v>
      </c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</row>
    <row r="22" spans="1:108" ht="17" customHeight="1" x14ac:dyDescent="0.2">
      <c r="A22" s="66"/>
      <c r="C22" s="68"/>
      <c r="D22" s="10">
        <v>0</v>
      </c>
      <c r="E22" s="1">
        <v>0</v>
      </c>
      <c r="F22" s="1">
        <v>37</v>
      </c>
      <c r="G22" s="1">
        <v>132</v>
      </c>
      <c r="H22" s="1">
        <v>69</v>
      </c>
      <c r="I22" s="1">
        <v>52</v>
      </c>
      <c r="J22" s="1">
        <v>51</v>
      </c>
      <c r="K22" s="1">
        <v>47</v>
      </c>
      <c r="L22" s="1">
        <v>38</v>
      </c>
      <c r="M22" s="1">
        <v>32</v>
      </c>
      <c r="N22" s="1">
        <v>38</v>
      </c>
      <c r="O22" s="1">
        <v>38</v>
      </c>
      <c r="P22" s="1">
        <v>42</v>
      </c>
      <c r="Q22" s="1">
        <v>45</v>
      </c>
      <c r="R22" s="1">
        <v>58</v>
      </c>
      <c r="S22" s="1">
        <v>101</v>
      </c>
      <c r="T22" s="1">
        <v>46</v>
      </c>
      <c r="U22" s="1">
        <v>0</v>
      </c>
      <c r="V22" s="1">
        <v>4</v>
      </c>
      <c r="W22" s="11">
        <v>1</v>
      </c>
      <c r="X22" s="10">
        <v>3</v>
      </c>
      <c r="Y22" s="1">
        <v>43</v>
      </c>
      <c r="Z22" s="1">
        <v>100</v>
      </c>
      <c r="AA22" s="1">
        <v>21</v>
      </c>
      <c r="AB22" s="1">
        <v>20</v>
      </c>
      <c r="AC22" s="1">
        <v>84</v>
      </c>
      <c r="AD22" s="1">
        <v>108</v>
      </c>
      <c r="AE22" s="1">
        <v>95</v>
      </c>
      <c r="AF22" s="1">
        <v>54</v>
      </c>
      <c r="AG22" s="1">
        <v>57</v>
      </c>
      <c r="AH22" s="1">
        <v>62</v>
      </c>
      <c r="AI22" s="1">
        <v>92</v>
      </c>
      <c r="AJ22" s="1">
        <v>116</v>
      </c>
      <c r="AK22" s="1">
        <v>88</v>
      </c>
      <c r="AL22" s="1">
        <v>43</v>
      </c>
      <c r="AM22" s="1">
        <v>21</v>
      </c>
      <c r="AN22" s="1">
        <v>81</v>
      </c>
      <c r="AO22" s="1">
        <v>42</v>
      </c>
      <c r="AP22" s="1">
        <v>12</v>
      </c>
      <c r="AQ22" s="11">
        <v>1</v>
      </c>
      <c r="AR22" s="10">
        <v>0</v>
      </c>
      <c r="AS22" s="1">
        <v>0</v>
      </c>
      <c r="AT22" s="1">
        <v>37</v>
      </c>
      <c r="AU22" s="1">
        <v>132</v>
      </c>
      <c r="AV22" s="1">
        <v>69</v>
      </c>
      <c r="AW22" s="1">
        <v>52</v>
      </c>
      <c r="AX22" s="1">
        <v>51</v>
      </c>
      <c r="AY22" s="1">
        <v>47</v>
      </c>
      <c r="AZ22" s="1">
        <v>38</v>
      </c>
      <c r="BA22" s="1">
        <v>32</v>
      </c>
      <c r="BB22" s="1">
        <v>38</v>
      </c>
      <c r="BC22" s="1">
        <v>38</v>
      </c>
      <c r="BD22" s="1">
        <v>42</v>
      </c>
      <c r="BE22" s="1">
        <v>45</v>
      </c>
      <c r="BF22" s="1">
        <v>58</v>
      </c>
      <c r="BG22" s="1">
        <v>101</v>
      </c>
      <c r="BH22" s="1">
        <v>46</v>
      </c>
      <c r="BI22" s="1">
        <v>0</v>
      </c>
      <c r="BJ22" s="1">
        <v>4</v>
      </c>
      <c r="BK22" s="11">
        <v>1</v>
      </c>
      <c r="BL22" s="10">
        <v>4</v>
      </c>
      <c r="BM22" s="1">
        <v>4</v>
      </c>
      <c r="BN22" s="1">
        <v>30</v>
      </c>
      <c r="BO22" s="1">
        <v>40</v>
      </c>
      <c r="BP22" s="1">
        <v>35</v>
      </c>
      <c r="BQ22" s="1">
        <v>44</v>
      </c>
      <c r="BR22" s="1">
        <v>45</v>
      </c>
      <c r="BS22" s="1">
        <v>42</v>
      </c>
      <c r="BT22" s="1">
        <v>54</v>
      </c>
      <c r="BU22" s="1">
        <v>59</v>
      </c>
      <c r="BV22" s="1">
        <v>80</v>
      </c>
      <c r="BW22" s="1">
        <v>40</v>
      </c>
      <c r="BX22" s="1">
        <v>28</v>
      </c>
      <c r="BY22" s="1">
        <v>50</v>
      </c>
      <c r="BZ22" s="1">
        <v>55</v>
      </c>
      <c r="CA22" s="1">
        <v>60</v>
      </c>
      <c r="CB22" s="1">
        <v>76</v>
      </c>
      <c r="CC22" s="1">
        <v>53</v>
      </c>
      <c r="CD22" s="1">
        <v>11</v>
      </c>
      <c r="CE22" s="11">
        <v>3</v>
      </c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</row>
    <row r="23" spans="1:108" ht="17" customHeight="1" x14ac:dyDescent="0.2">
      <c r="A23" s="66"/>
      <c r="C23" s="68"/>
      <c r="D23" s="10">
        <v>1</v>
      </c>
      <c r="E23" s="1">
        <v>3</v>
      </c>
      <c r="F23" s="1">
        <v>16</v>
      </c>
      <c r="G23" s="1">
        <v>133</v>
      </c>
      <c r="H23" s="1">
        <v>87</v>
      </c>
      <c r="I23" s="1">
        <v>76</v>
      </c>
      <c r="J23" s="1">
        <v>93</v>
      </c>
      <c r="K23" s="1">
        <v>107</v>
      </c>
      <c r="L23" s="1">
        <v>71</v>
      </c>
      <c r="M23" s="1">
        <v>61</v>
      </c>
      <c r="N23" s="1">
        <v>81</v>
      </c>
      <c r="O23" s="1">
        <v>104</v>
      </c>
      <c r="P23" s="1">
        <v>89</v>
      </c>
      <c r="Q23" s="1">
        <v>72</v>
      </c>
      <c r="R23" s="1">
        <v>87</v>
      </c>
      <c r="S23" s="1">
        <v>89</v>
      </c>
      <c r="T23" s="1">
        <v>5</v>
      </c>
      <c r="U23" s="1">
        <v>4</v>
      </c>
      <c r="V23" s="1">
        <v>4</v>
      </c>
      <c r="W23" s="11">
        <v>1</v>
      </c>
      <c r="X23" s="10">
        <v>1</v>
      </c>
      <c r="Y23" s="1">
        <v>59</v>
      </c>
      <c r="Z23" s="1">
        <v>69</v>
      </c>
      <c r="AA23" s="1">
        <v>47</v>
      </c>
      <c r="AB23" s="1">
        <v>55</v>
      </c>
      <c r="AC23" s="1">
        <v>105</v>
      </c>
      <c r="AD23" s="1">
        <v>142</v>
      </c>
      <c r="AE23" s="1">
        <v>108</v>
      </c>
      <c r="AF23" s="1">
        <v>68</v>
      </c>
      <c r="AG23" s="1">
        <v>43</v>
      </c>
      <c r="AH23" s="1">
        <v>67</v>
      </c>
      <c r="AI23" s="1">
        <v>93</v>
      </c>
      <c r="AJ23" s="1">
        <v>127</v>
      </c>
      <c r="AK23" s="1">
        <v>95</v>
      </c>
      <c r="AL23" s="1">
        <v>71</v>
      </c>
      <c r="AM23" s="1">
        <v>55</v>
      </c>
      <c r="AN23" s="1">
        <v>74</v>
      </c>
      <c r="AO23" s="1">
        <v>73</v>
      </c>
      <c r="AP23" s="1">
        <v>26</v>
      </c>
      <c r="AQ23" s="11">
        <v>1</v>
      </c>
      <c r="AR23" s="10">
        <v>1</v>
      </c>
      <c r="AS23" s="1">
        <v>3</v>
      </c>
      <c r="AT23" s="1">
        <v>16</v>
      </c>
      <c r="AU23" s="1">
        <v>133</v>
      </c>
      <c r="AV23" s="1">
        <v>87</v>
      </c>
      <c r="AW23" s="1">
        <v>76</v>
      </c>
      <c r="AX23" s="1">
        <v>93</v>
      </c>
      <c r="AY23" s="1">
        <v>107</v>
      </c>
      <c r="AZ23" s="1">
        <v>71</v>
      </c>
      <c r="BA23" s="1">
        <v>61</v>
      </c>
      <c r="BB23" s="1">
        <v>81</v>
      </c>
      <c r="BC23" s="1">
        <v>104</v>
      </c>
      <c r="BD23" s="1">
        <v>89</v>
      </c>
      <c r="BE23" s="1">
        <v>72</v>
      </c>
      <c r="BF23" s="1">
        <v>87</v>
      </c>
      <c r="BG23" s="1">
        <v>89</v>
      </c>
      <c r="BH23" s="1">
        <v>5</v>
      </c>
      <c r="BI23" s="1">
        <v>4</v>
      </c>
      <c r="BJ23" s="1">
        <v>4</v>
      </c>
      <c r="BK23" s="11">
        <v>1</v>
      </c>
      <c r="BL23" s="10">
        <v>4</v>
      </c>
      <c r="BM23" s="1">
        <v>3</v>
      </c>
      <c r="BN23" s="1">
        <v>25</v>
      </c>
      <c r="BO23" s="1">
        <v>55</v>
      </c>
      <c r="BP23" s="1">
        <v>43</v>
      </c>
      <c r="BQ23" s="1">
        <v>30</v>
      </c>
      <c r="BR23" s="1">
        <v>36</v>
      </c>
      <c r="BS23" s="1">
        <v>32</v>
      </c>
      <c r="BT23" s="1">
        <v>41</v>
      </c>
      <c r="BU23" s="1">
        <v>57</v>
      </c>
      <c r="BV23" s="1">
        <v>72</v>
      </c>
      <c r="BW23" s="1">
        <v>58</v>
      </c>
      <c r="BX23" s="1">
        <v>48</v>
      </c>
      <c r="BY23" s="1">
        <v>47</v>
      </c>
      <c r="BZ23" s="1">
        <v>42</v>
      </c>
      <c r="CA23" s="1">
        <v>54</v>
      </c>
      <c r="CB23" s="1">
        <v>40</v>
      </c>
      <c r="CC23" s="1">
        <v>14</v>
      </c>
      <c r="CD23" s="1">
        <v>4</v>
      </c>
      <c r="CE23" s="11">
        <v>4</v>
      </c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</row>
    <row r="24" spans="1:108" ht="17" customHeight="1" x14ac:dyDescent="0.2">
      <c r="A24" s="66"/>
      <c r="C24" s="68"/>
      <c r="D24" s="10">
        <v>2</v>
      </c>
      <c r="E24" s="1">
        <v>4</v>
      </c>
      <c r="F24" s="1">
        <v>5</v>
      </c>
      <c r="G24" s="1">
        <v>110</v>
      </c>
      <c r="H24" s="1">
        <v>103</v>
      </c>
      <c r="I24" s="1">
        <v>66</v>
      </c>
      <c r="J24" s="1">
        <v>70</v>
      </c>
      <c r="K24" s="1">
        <v>102</v>
      </c>
      <c r="L24" s="1">
        <v>123</v>
      </c>
      <c r="M24" s="1">
        <v>114</v>
      </c>
      <c r="N24" s="1">
        <v>114</v>
      </c>
      <c r="O24" s="1">
        <v>117</v>
      </c>
      <c r="P24" s="1">
        <v>85</v>
      </c>
      <c r="Q24" s="1">
        <v>63</v>
      </c>
      <c r="R24" s="1">
        <v>83</v>
      </c>
      <c r="S24" s="1">
        <v>20</v>
      </c>
      <c r="T24" s="1">
        <v>2</v>
      </c>
      <c r="U24" s="1">
        <v>4</v>
      </c>
      <c r="V24" s="1">
        <v>4</v>
      </c>
      <c r="W24" s="11">
        <v>2</v>
      </c>
      <c r="X24" s="10">
        <v>2</v>
      </c>
      <c r="Y24" s="1">
        <v>38</v>
      </c>
      <c r="Z24" s="1">
        <v>81</v>
      </c>
      <c r="AA24" s="1">
        <v>85</v>
      </c>
      <c r="AB24" s="1">
        <v>83</v>
      </c>
      <c r="AC24" s="1">
        <v>89</v>
      </c>
      <c r="AD24" s="1">
        <v>115</v>
      </c>
      <c r="AE24" s="1">
        <v>106</v>
      </c>
      <c r="AF24" s="1">
        <v>60</v>
      </c>
      <c r="AG24" s="1">
        <v>41</v>
      </c>
      <c r="AH24" s="1">
        <v>61</v>
      </c>
      <c r="AI24" s="1">
        <v>103</v>
      </c>
      <c r="AJ24" s="1">
        <v>84</v>
      </c>
      <c r="AK24" s="1">
        <v>56</v>
      </c>
      <c r="AL24" s="1">
        <v>70</v>
      </c>
      <c r="AM24" s="1">
        <v>87</v>
      </c>
      <c r="AN24" s="1">
        <v>84</v>
      </c>
      <c r="AO24" s="1">
        <v>82</v>
      </c>
      <c r="AP24" s="1">
        <v>44</v>
      </c>
      <c r="AQ24" s="11">
        <v>0</v>
      </c>
      <c r="AR24" s="10">
        <v>2</v>
      </c>
      <c r="AS24" s="1">
        <v>4</v>
      </c>
      <c r="AT24" s="1">
        <v>5</v>
      </c>
      <c r="AU24" s="1">
        <v>110</v>
      </c>
      <c r="AV24" s="1">
        <v>103</v>
      </c>
      <c r="AW24" s="1">
        <v>66</v>
      </c>
      <c r="AX24" s="1">
        <v>70</v>
      </c>
      <c r="AY24" s="1">
        <v>102</v>
      </c>
      <c r="AZ24" s="1">
        <v>123</v>
      </c>
      <c r="BA24" s="1">
        <v>114</v>
      </c>
      <c r="BB24" s="1">
        <v>114</v>
      </c>
      <c r="BC24" s="1">
        <v>117</v>
      </c>
      <c r="BD24" s="1">
        <v>85</v>
      </c>
      <c r="BE24" s="1">
        <v>63</v>
      </c>
      <c r="BF24" s="1">
        <v>83</v>
      </c>
      <c r="BG24" s="1">
        <v>20</v>
      </c>
      <c r="BH24" s="1">
        <v>2</v>
      </c>
      <c r="BI24" s="1">
        <v>4</v>
      </c>
      <c r="BJ24" s="1">
        <v>4</v>
      </c>
      <c r="BK24" s="11">
        <v>2</v>
      </c>
      <c r="BL24" s="10">
        <v>4</v>
      </c>
      <c r="BM24" s="1">
        <v>4</v>
      </c>
      <c r="BN24" s="1">
        <v>10</v>
      </c>
      <c r="BO24" s="1">
        <v>54</v>
      </c>
      <c r="BP24" s="1">
        <v>59</v>
      </c>
      <c r="BQ24" s="1">
        <v>28</v>
      </c>
      <c r="BR24" s="1">
        <v>25</v>
      </c>
      <c r="BS24" s="1">
        <v>23</v>
      </c>
      <c r="BT24" s="1">
        <v>26</v>
      </c>
      <c r="BU24" s="1">
        <v>51</v>
      </c>
      <c r="BV24" s="1">
        <v>52</v>
      </c>
      <c r="BW24" s="1">
        <v>46</v>
      </c>
      <c r="BX24" s="1">
        <v>40</v>
      </c>
      <c r="BY24" s="1">
        <v>32</v>
      </c>
      <c r="BZ24" s="1">
        <v>32</v>
      </c>
      <c r="CA24" s="1">
        <v>24</v>
      </c>
      <c r="CB24" s="1">
        <v>7</v>
      </c>
      <c r="CC24" s="1">
        <v>4</v>
      </c>
      <c r="CD24" s="1">
        <v>4</v>
      </c>
      <c r="CE24" s="11">
        <v>4</v>
      </c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</row>
    <row r="25" spans="1:108" ht="17" customHeight="1" x14ac:dyDescent="0.2">
      <c r="A25" s="66"/>
      <c r="C25" s="68"/>
      <c r="D25" s="10">
        <v>2</v>
      </c>
      <c r="E25" s="1">
        <v>4</v>
      </c>
      <c r="F25" s="1">
        <v>4</v>
      </c>
      <c r="G25" s="1">
        <v>73</v>
      </c>
      <c r="H25" s="1">
        <v>90</v>
      </c>
      <c r="I25" s="1">
        <v>54</v>
      </c>
      <c r="J25" s="1">
        <v>51</v>
      </c>
      <c r="K25" s="1">
        <v>81</v>
      </c>
      <c r="L25" s="1">
        <v>99</v>
      </c>
      <c r="M25" s="1">
        <v>81</v>
      </c>
      <c r="N25" s="1">
        <v>99</v>
      </c>
      <c r="O25" s="1">
        <v>84</v>
      </c>
      <c r="P25" s="1">
        <v>58</v>
      </c>
      <c r="Q25" s="1">
        <v>42</v>
      </c>
      <c r="R25" s="1">
        <v>49</v>
      </c>
      <c r="S25" s="1">
        <v>2</v>
      </c>
      <c r="T25" s="1">
        <v>3</v>
      </c>
      <c r="U25" s="1">
        <v>3</v>
      </c>
      <c r="V25" s="1">
        <v>3</v>
      </c>
      <c r="W25" s="11">
        <v>2</v>
      </c>
      <c r="X25" s="10">
        <v>3</v>
      </c>
      <c r="Y25" s="1">
        <v>20</v>
      </c>
      <c r="Z25" s="1">
        <v>92</v>
      </c>
      <c r="AA25" s="1">
        <v>83</v>
      </c>
      <c r="AB25" s="1">
        <v>90</v>
      </c>
      <c r="AC25" s="1">
        <v>102</v>
      </c>
      <c r="AD25" s="1">
        <v>58</v>
      </c>
      <c r="AE25" s="1">
        <v>100</v>
      </c>
      <c r="AF25" s="1">
        <v>64</v>
      </c>
      <c r="AG25" s="1">
        <v>36</v>
      </c>
      <c r="AH25" s="1">
        <v>48</v>
      </c>
      <c r="AI25" s="1">
        <v>92</v>
      </c>
      <c r="AJ25" s="1">
        <v>64</v>
      </c>
      <c r="AK25" s="1">
        <v>75</v>
      </c>
      <c r="AL25" s="1">
        <v>74</v>
      </c>
      <c r="AM25" s="1">
        <v>82</v>
      </c>
      <c r="AN25" s="1">
        <v>84</v>
      </c>
      <c r="AO25" s="1">
        <v>33</v>
      </c>
      <c r="AP25" s="1">
        <v>7</v>
      </c>
      <c r="AQ25" s="11">
        <v>4</v>
      </c>
      <c r="AR25" s="10">
        <v>2</v>
      </c>
      <c r="AS25" s="1">
        <v>4</v>
      </c>
      <c r="AT25" s="1">
        <v>4</v>
      </c>
      <c r="AU25" s="1">
        <v>73</v>
      </c>
      <c r="AV25" s="1">
        <v>90</v>
      </c>
      <c r="AW25" s="1">
        <v>54</v>
      </c>
      <c r="AX25" s="1">
        <v>51</v>
      </c>
      <c r="AY25" s="1">
        <v>81</v>
      </c>
      <c r="AZ25" s="1">
        <v>99</v>
      </c>
      <c r="BA25" s="1">
        <v>81</v>
      </c>
      <c r="BB25" s="1">
        <v>99</v>
      </c>
      <c r="BC25" s="1">
        <v>84</v>
      </c>
      <c r="BD25" s="1">
        <v>58</v>
      </c>
      <c r="BE25" s="1">
        <v>42</v>
      </c>
      <c r="BF25" s="1">
        <v>49</v>
      </c>
      <c r="BG25" s="1">
        <v>2</v>
      </c>
      <c r="BH25" s="1">
        <v>3</v>
      </c>
      <c r="BI25" s="1">
        <v>3</v>
      </c>
      <c r="BJ25" s="1">
        <v>3</v>
      </c>
      <c r="BK25" s="11">
        <v>2</v>
      </c>
      <c r="BL25" s="10">
        <v>4</v>
      </c>
      <c r="BM25" s="1">
        <v>5</v>
      </c>
      <c r="BN25" s="1">
        <v>5</v>
      </c>
      <c r="BO25" s="1">
        <v>27</v>
      </c>
      <c r="BP25" s="1">
        <v>59</v>
      </c>
      <c r="BQ25" s="1">
        <v>38</v>
      </c>
      <c r="BR25" s="1">
        <v>22</v>
      </c>
      <c r="BS25" s="1">
        <v>22</v>
      </c>
      <c r="BT25" s="1">
        <v>25</v>
      </c>
      <c r="BU25" s="1">
        <v>42</v>
      </c>
      <c r="BV25" s="1">
        <v>35</v>
      </c>
      <c r="BW25" s="1">
        <v>34</v>
      </c>
      <c r="BX25" s="1">
        <v>25</v>
      </c>
      <c r="BY25" s="1">
        <v>24</v>
      </c>
      <c r="BZ25" s="1">
        <v>17</v>
      </c>
      <c r="CA25" s="1">
        <v>6</v>
      </c>
      <c r="CB25" s="1">
        <v>4</v>
      </c>
      <c r="CC25" s="1">
        <v>3</v>
      </c>
      <c r="CD25" s="1">
        <v>3</v>
      </c>
      <c r="CE25" s="11">
        <v>3</v>
      </c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</row>
    <row r="26" spans="1:108" ht="17" customHeight="1" x14ac:dyDescent="0.2">
      <c r="A26" s="66"/>
      <c r="C26" s="68"/>
      <c r="D26" s="10">
        <v>3</v>
      </c>
      <c r="E26" s="1">
        <v>4</v>
      </c>
      <c r="F26" s="1">
        <v>5</v>
      </c>
      <c r="G26" s="1">
        <v>35</v>
      </c>
      <c r="H26" s="1">
        <v>53</v>
      </c>
      <c r="I26" s="1">
        <v>43</v>
      </c>
      <c r="J26" s="1">
        <v>45</v>
      </c>
      <c r="K26" s="1">
        <v>58</v>
      </c>
      <c r="L26" s="1">
        <v>56</v>
      </c>
      <c r="M26" s="1">
        <v>60</v>
      </c>
      <c r="N26" s="1">
        <v>71</v>
      </c>
      <c r="O26" s="1">
        <v>47</v>
      </c>
      <c r="P26" s="1">
        <v>38</v>
      </c>
      <c r="Q26" s="1">
        <v>34</v>
      </c>
      <c r="R26" s="1">
        <v>19</v>
      </c>
      <c r="S26" s="1">
        <v>3</v>
      </c>
      <c r="T26" s="1">
        <v>3</v>
      </c>
      <c r="U26" s="1">
        <v>3</v>
      </c>
      <c r="V26" s="1">
        <v>3</v>
      </c>
      <c r="W26" s="11">
        <v>2</v>
      </c>
      <c r="X26" s="10">
        <v>5</v>
      </c>
      <c r="Y26" s="1">
        <v>15</v>
      </c>
      <c r="Z26" s="1">
        <v>63</v>
      </c>
      <c r="AA26" s="1">
        <v>63</v>
      </c>
      <c r="AB26" s="1">
        <v>68</v>
      </c>
      <c r="AC26" s="1">
        <v>82</v>
      </c>
      <c r="AD26" s="1">
        <v>66</v>
      </c>
      <c r="AE26" s="1">
        <v>69</v>
      </c>
      <c r="AF26" s="1">
        <v>34</v>
      </c>
      <c r="AG26" s="1">
        <v>34</v>
      </c>
      <c r="AH26" s="1">
        <v>38</v>
      </c>
      <c r="AI26" s="1">
        <v>61</v>
      </c>
      <c r="AJ26" s="1">
        <v>44</v>
      </c>
      <c r="AK26" s="1">
        <v>68</v>
      </c>
      <c r="AL26" s="1">
        <v>61</v>
      </c>
      <c r="AM26" s="1">
        <v>70</v>
      </c>
      <c r="AN26" s="1">
        <v>64</v>
      </c>
      <c r="AO26" s="1">
        <v>8</v>
      </c>
      <c r="AP26" s="1">
        <v>6</v>
      </c>
      <c r="AQ26" s="11">
        <v>4</v>
      </c>
      <c r="AR26" s="10">
        <v>3</v>
      </c>
      <c r="AS26" s="1">
        <v>4</v>
      </c>
      <c r="AT26" s="1">
        <v>5</v>
      </c>
      <c r="AU26" s="1">
        <v>35</v>
      </c>
      <c r="AV26" s="1">
        <v>53</v>
      </c>
      <c r="AW26" s="1">
        <v>43</v>
      </c>
      <c r="AX26" s="1">
        <v>45</v>
      </c>
      <c r="AY26" s="1">
        <v>58</v>
      </c>
      <c r="AZ26" s="1">
        <v>56</v>
      </c>
      <c r="BA26" s="1">
        <v>60</v>
      </c>
      <c r="BB26" s="1">
        <v>71</v>
      </c>
      <c r="BC26" s="1">
        <v>47</v>
      </c>
      <c r="BD26" s="1">
        <v>38</v>
      </c>
      <c r="BE26" s="1">
        <v>34</v>
      </c>
      <c r="BF26" s="1">
        <v>19</v>
      </c>
      <c r="BG26" s="1">
        <v>3</v>
      </c>
      <c r="BH26" s="1">
        <v>3</v>
      </c>
      <c r="BI26" s="1">
        <v>3</v>
      </c>
      <c r="BJ26" s="1">
        <v>3</v>
      </c>
      <c r="BK26" s="11">
        <v>2</v>
      </c>
      <c r="BL26" s="10">
        <v>4</v>
      </c>
      <c r="BM26" s="1">
        <v>5</v>
      </c>
      <c r="BN26" s="1">
        <v>6</v>
      </c>
      <c r="BO26" s="1">
        <v>7</v>
      </c>
      <c r="BP26" s="1">
        <v>26</v>
      </c>
      <c r="BQ26" s="1">
        <v>43</v>
      </c>
      <c r="BR26" s="1">
        <v>36</v>
      </c>
      <c r="BS26" s="1">
        <v>33</v>
      </c>
      <c r="BT26" s="1">
        <v>38</v>
      </c>
      <c r="BU26" s="1">
        <v>46</v>
      </c>
      <c r="BV26" s="1">
        <v>41</v>
      </c>
      <c r="BW26" s="1">
        <v>35</v>
      </c>
      <c r="BX26" s="1">
        <v>27</v>
      </c>
      <c r="BY26" s="1">
        <v>13</v>
      </c>
      <c r="BZ26" s="1">
        <v>5</v>
      </c>
      <c r="CA26" s="1">
        <v>3</v>
      </c>
      <c r="CB26" s="1">
        <v>3</v>
      </c>
      <c r="CC26" s="1">
        <v>3</v>
      </c>
      <c r="CD26" s="1">
        <v>3</v>
      </c>
      <c r="CE26" s="11">
        <v>3</v>
      </c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</row>
    <row r="27" spans="1:108" ht="17" customHeight="1" x14ac:dyDescent="0.2">
      <c r="A27" s="66"/>
      <c r="C27" s="68"/>
      <c r="D27" s="10">
        <v>2</v>
      </c>
      <c r="E27" s="1">
        <v>4</v>
      </c>
      <c r="F27" s="1">
        <v>4</v>
      </c>
      <c r="G27" s="1">
        <v>16</v>
      </c>
      <c r="H27" s="1">
        <v>41</v>
      </c>
      <c r="I27" s="1">
        <v>41</v>
      </c>
      <c r="J27" s="1">
        <v>42</v>
      </c>
      <c r="K27" s="1">
        <v>52</v>
      </c>
      <c r="L27" s="1">
        <v>46</v>
      </c>
      <c r="M27" s="1">
        <v>45</v>
      </c>
      <c r="N27" s="1">
        <v>44</v>
      </c>
      <c r="O27" s="1">
        <v>34</v>
      </c>
      <c r="P27" s="1">
        <v>32</v>
      </c>
      <c r="Q27" s="1">
        <v>25</v>
      </c>
      <c r="R27" s="1">
        <v>8</v>
      </c>
      <c r="S27" s="1">
        <v>3</v>
      </c>
      <c r="T27" s="1">
        <v>3</v>
      </c>
      <c r="U27" s="1">
        <v>2</v>
      </c>
      <c r="V27" s="1">
        <v>3</v>
      </c>
      <c r="W27" s="11">
        <v>2</v>
      </c>
      <c r="X27" s="10">
        <v>6</v>
      </c>
      <c r="Y27" s="1">
        <v>8</v>
      </c>
      <c r="Z27" s="1">
        <v>39</v>
      </c>
      <c r="AA27" s="1">
        <v>53</v>
      </c>
      <c r="AB27" s="1">
        <v>48</v>
      </c>
      <c r="AC27" s="1">
        <v>56</v>
      </c>
      <c r="AD27" s="1">
        <v>49</v>
      </c>
      <c r="AE27" s="1">
        <v>61</v>
      </c>
      <c r="AF27" s="1">
        <v>33</v>
      </c>
      <c r="AG27" s="1">
        <v>31</v>
      </c>
      <c r="AH27" s="1">
        <v>43</v>
      </c>
      <c r="AI27" s="1">
        <v>48</v>
      </c>
      <c r="AJ27" s="1">
        <v>36</v>
      </c>
      <c r="AK27" s="1">
        <v>46</v>
      </c>
      <c r="AL27" s="1">
        <v>45</v>
      </c>
      <c r="AM27" s="1">
        <v>48</v>
      </c>
      <c r="AN27" s="1">
        <v>21</v>
      </c>
      <c r="AO27" s="1">
        <v>4</v>
      </c>
      <c r="AP27" s="1">
        <v>4</v>
      </c>
      <c r="AQ27" s="11">
        <v>3</v>
      </c>
      <c r="AR27" s="10">
        <v>2</v>
      </c>
      <c r="AS27" s="1">
        <v>4</v>
      </c>
      <c r="AT27" s="1">
        <v>4</v>
      </c>
      <c r="AU27" s="1">
        <v>16</v>
      </c>
      <c r="AV27" s="1">
        <v>41</v>
      </c>
      <c r="AW27" s="1">
        <v>41</v>
      </c>
      <c r="AX27" s="1">
        <v>42</v>
      </c>
      <c r="AY27" s="1">
        <v>52</v>
      </c>
      <c r="AZ27" s="1">
        <v>46</v>
      </c>
      <c r="BA27" s="1">
        <v>45</v>
      </c>
      <c r="BB27" s="1">
        <v>44</v>
      </c>
      <c r="BC27" s="1">
        <v>34</v>
      </c>
      <c r="BD27" s="1">
        <v>32</v>
      </c>
      <c r="BE27" s="1">
        <v>25</v>
      </c>
      <c r="BF27" s="1">
        <v>8</v>
      </c>
      <c r="BG27" s="1">
        <v>3</v>
      </c>
      <c r="BH27" s="1">
        <v>3</v>
      </c>
      <c r="BI27" s="1">
        <v>2</v>
      </c>
      <c r="BJ27" s="1">
        <v>3</v>
      </c>
      <c r="BK27" s="11">
        <v>2</v>
      </c>
      <c r="BL27" s="10">
        <v>4</v>
      </c>
      <c r="BM27" s="1">
        <v>4</v>
      </c>
      <c r="BN27" s="1">
        <v>6</v>
      </c>
      <c r="BO27" s="1">
        <v>7</v>
      </c>
      <c r="BP27" s="1">
        <v>6</v>
      </c>
      <c r="BQ27" s="1">
        <v>11</v>
      </c>
      <c r="BR27" s="1">
        <v>20</v>
      </c>
      <c r="BS27" s="1">
        <v>23</v>
      </c>
      <c r="BT27" s="1">
        <v>30</v>
      </c>
      <c r="BU27" s="1">
        <v>39</v>
      </c>
      <c r="BV27" s="1">
        <v>41</v>
      </c>
      <c r="BW27" s="1">
        <v>27</v>
      </c>
      <c r="BX27" s="1">
        <v>13</v>
      </c>
      <c r="BY27" s="1">
        <v>4</v>
      </c>
      <c r="BZ27" s="1">
        <v>3</v>
      </c>
      <c r="CA27" s="1">
        <v>3</v>
      </c>
      <c r="CB27" s="1">
        <v>3</v>
      </c>
      <c r="CC27" s="1">
        <v>3</v>
      </c>
      <c r="CD27" s="1">
        <v>3</v>
      </c>
      <c r="CE27" s="11">
        <v>3</v>
      </c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</row>
    <row r="28" spans="1:108" ht="17" customHeight="1" thickBot="1" x14ac:dyDescent="0.25">
      <c r="A28" s="69"/>
      <c r="B28" s="70"/>
      <c r="C28" s="71"/>
      <c r="D28" s="12">
        <v>2</v>
      </c>
      <c r="E28" s="13">
        <v>3</v>
      </c>
      <c r="F28" s="13">
        <v>3</v>
      </c>
      <c r="G28" s="13">
        <v>16</v>
      </c>
      <c r="H28" s="13">
        <v>36</v>
      </c>
      <c r="I28" s="13">
        <v>35</v>
      </c>
      <c r="J28" s="13">
        <v>38</v>
      </c>
      <c r="K28" s="13">
        <v>44</v>
      </c>
      <c r="L28" s="13">
        <v>39</v>
      </c>
      <c r="M28" s="13">
        <v>40</v>
      </c>
      <c r="N28" s="13">
        <v>42</v>
      </c>
      <c r="O28" s="13">
        <v>29</v>
      </c>
      <c r="P28" s="13">
        <v>26</v>
      </c>
      <c r="Q28" s="13">
        <v>19</v>
      </c>
      <c r="R28" s="13">
        <v>5</v>
      </c>
      <c r="S28" s="13">
        <v>3</v>
      </c>
      <c r="T28" s="13">
        <v>2</v>
      </c>
      <c r="U28" s="13">
        <v>2</v>
      </c>
      <c r="V28" s="13">
        <v>2</v>
      </c>
      <c r="W28" s="14">
        <v>2</v>
      </c>
      <c r="X28" s="12">
        <v>5</v>
      </c>
      <c r="Y28" s="13">
        <v>5</v>
      </c>
      <c r="Z28" s="13">
        <v>23</v>
      </c>
      <c r="AA28" s="13">
        <v>45</v>
      </c>
      <c r="AB28" s="13">
        <v>37</v>
      </c>
      <c r="AC28" s="13">
        <v>52</v>
      </c>
      <c r="AD28" s="13">
        <v>36</v>
      </c>
      <c r="AE28" s="13">
        <v>46</v>
      </c>
      <c r="AF28" s="13">
        <v>30</v>
      </c>
      <c r="AG28" s="13">
        <v>22</v>
      </c>
      <c r="AH28" s="13">
        <v>41</v>
      </c>
      <c r="AI28" s="13">
        <v>54</v>
      </c>
      <c r="AJ28" s="13">
        <v>27</v>
      </c>
      <c r="AK28" s="13">
        <v>34</v>
      </c>
      <c r="AL28" s="13">
        <v>40</v>
      </c>
      <c r="AM28" s="13">
        <v>29</v>
      </c>
      <c r="AN28" s="13">
        <v>6</v>
      </c>
      <c r="AO28" s="13">
        <v>4</v>
      </c>
      <c r="AP28" s="13">
        <v>3</v>
      </c>
      <c r="AQ28" s="14">
        <v>3</v>
      </c>
      <c r="AR28" s="12">
        <v>2</v>
      </c>
      <c r="AS28" s="13">
        <v>3</v>
      </c>
      <c r="AT28" s="13">
        <v>3</v>
      </c>
      <c r="AU28" s="13">
        <v>16</v>
      </c>
      <c r="AV28" s="13">
        <v>36</v>
      </c>
      <c r="AW28" s="13">
        <v>35</v>
      </c>
      <c r="AX28" s="13">
        <v>38</v>
      </c>
      <c r="AY28" s="13">
        <v>44</v>
      </c>
      <c r="AZ28" s="13">
        <v>39</v>
      </c>
      <c r="BA28" s="13">
        <v>40</v>
      </c>
      <c r="BB28" s="13">
        <v>42</v>
      </c>
      <c r="BC28" s="13">
        <v>29</v>
      </c>
      <c r="BD28" s="13">
        <v>26</v>
      </c>
      <c r="BE28" s="13">
        <v>19</v>
      </c>
      <c r="BF28" s="13">
        <v>5</v>
      </c>
      <c r="BG28" s="13">
        <v>3</v>
      </c>
      <c r="BH28" s="13">
        <v>2</v>
      </c>
      <c r="BI28" s="13">
        <v>2</v>
      </c>
      <c r="BJ28" s="13">
        <v>2</v>
      </c>
      <c r="BK28" s="14">
        <v>2</v>
      </c>
      <c r="BL28" s="12">
        <v>2</v>
      </c>
      <c r="BM28" s="13">
        <v>2</v>
      </c>
      <c r="BN28" s="13">
        <v>4</v>
      </c>
      <c r="BO28" s="13">
        <v>4</v>
      </c>
      <c r="BP28" s="13">
        <v>5</v>
      </c>
      <c r="BQ28" s="13">
        <v>4</v>
      </c>
      <c r="BR28" s="13">
        <v>4</v>
      </c>
      <c r="BS28" s="13">
        <v>4</v>
      </c>
      <c r="BT28" s="13">
        <v>5</v>
      </c>
      <c r="BU28" s="13">
        <v>9</v>
      </c>
      <c r="BV28" s="13">
        <v>10</v>
      </c>
      <c r="BW28" s="13">
        <v>7</v>
      </c>
      <c r="BX28" s="13">
        <v>3</v>
      </c>
      <c r="BY28" s="13">
        <v>3</v>
      </c>
      <c r="BZ28" s="13">
        <v>2</v>
      </c>
      <c r="CA28" s="13">
        <v>2</v>
      </c>
      <c r="CB28" s="13">
        <v>3</v>
      </c>
      <c r="CC28" s="13">
        <v>3</v>
      </c>
      <c r="CD28" s="13">
        <v>3</v>
      </c>
      <c r="CE28" s="14">
        <v>3</v>
      </c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</row>
    <row r="29" spans="1:108" ht="17" customHeight="1" x14ac:dyDescent="0.2">
      <c r="A29" s="63"/>
      <c r="B29" s="64"/>
      <c r="C29" s="65" t="s">
        <v>41</v>
      </c>
      <c r="D29" s="7">
        <v>0</v>
      </c>
      <c r="E29" s="8">
        <v>0</v>
      </c>
      <c r="F29" s="8">
        <v>0</v>
      </c>
      <c r="G29" s="8">
        <v>1</v>
      </c>
      <c r="H29" s="8">
        <v>1</v>
      </c>
      <c r="I29" s="8">
        <v>0</v>
      </c>
      <c r="J29" s="8">
        <v>1</v>
      </c>
      <c r="K29" s="8">
        <v>1</v>
      </c>
      <c r="L29" s="8">
        <v>1</v>
      </c>
      <c r="M29" s="8">
        <v>1</v>
      </c>
      <c r="N29" s="8">
        <v>1</v>
      </c>
      <c r="O29" s="8">
        <v>1</v>
      </c>
      <c r="P29" s="8">
        <v>1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7">
        <v>0</v>
      </c>
      <c r="Y29" s="8">
        <v>0</v>
      </c>
      <c r="Z29" s="8">
        <v>0</v>
      </c>
      <c r="AA29" s="8">
        <v>0</v>
      </c>
      <c r="AB29" s="8">
        <v>1</v>
      </c>
      <c r="AC29" s="8">
        <v>1</v>
      </c>
      <c r="AD29" s="8">
        <v>1</v>
      </c>
      <c r="AE29" s="8">
        <v>1</v>
      </c>
      <c r="AF29" s="8">
        <v>1</v>
      </c>
      <c r="AG29" s="8">
        <v>1</v>
      </c>
      <c r="AH29" s="8">
        <v>1</v>
      </c>
      <c r="AI29" s="8">
        <v>1</v>
      </c>
      <c r="AJ29" s="8">
        <v>1</v>
      </c>
      <c r="AK29" s="8">
        <v>1</v>
      </c>
      <c r="AL29" s="8">
        <v>1</v>
      </c>
      <c r="AM29" s="8">
        <v>1</v>
      </c>
      <c r="AN29" s="8">
        <v>0</v>
      </c>
      <c r="AO29" s="8">
        <v>0</v>
      </c>
      <c r="AP29" s="8">
        <v>0</v>
      </c>
      <c r="AQ29" s="9">
        <v>0</v>
      </c>
      <c r="AR29" s="8">
        <v>0</v>
      </c>
      <c r="AS29" s="8">
        <v>0</v>
      </c>
      <c r="AT29" s="8">
        <v>1</v>
      </c>
      <c r="AU29" s="8">
        <v>1</v>
      </c>
      <c r="AV29" s="8">
        <v>1</v>
      </c>
      <c r="AW29" s="8">
        <v>1</v>
      </c>
      <c r="AX29" s="8">
        <v>1</v>
      </c>
      <c r="AY29" s="8">
        <v>1</v>
      </c>
      <c r="AZ29" s="8">
        <v>1</v>
      </c>
      <c r="BA29" s="8">
        <v>1</v>
      </c>
      <c r="BB29" s="8">
        <v>1</v>
      </c>
      <c r="BC29" s="8">
        <v>1</v>
      </c>
      <c r="BD29" s="8">
        <v>1</v>
      </c>
      <c r="BE29" s="8">
        <v>1</v>
      </c>
      <c r="BF29" s="8">
        <v>1</v>
      </c>
      <c r="BG29" s="8">
        <v>1</v>
      </c>
      <c r="BH29" s="8">
        <v>1</v>
      </c>
      <c r="BI29" s="8">
        <v>1</v>
      </c>
      <c r="BJ29" s="8">
        <v>0</v>
      </c>
      <c r="BK29" s="8">
        <v>0</v>
      </c>
      <c r="BL29" s="7">
        <v>0</v>
      </c>
      <c r="BM29" s="8">
        <v>0</v>
      </c>
      <c r="BN29" s="8">
        <v>0</v>
      </c>
      <c r="BO29" s="8">
        <v>0</v>
      </c>
      <c r="BP29" s="8">
        <v>0</v>
      </c>
      <c r="BQ29" s="8">
        <v>0</v>
      </c>
      <c r="BR29" s="8">
        <v>0</v>
      </c>
      <c r="BS29" s="8">
        <v>0</v>
      </c>
      <c r="BT29" s="8">
        <v>0</v>
      </c>
      <c r="BU29" s="8">
        <v>0</v>
      </c>
      <c r="BV29" s="8">
        <v>0</v>
      </c>
      <c r="BW29" s="8">
        <v>0</v>
      </c>
      <c r="BX29" s="8">
        <v>0</v>
      </c>
      <c r="BY29" s="8">
        <v>0</v>
      </c>
      <c r="BZ29" s="8">
        <v>0</v>
      </c>
      <c r="CA29" s="8">
        <v>0</v>
      </c>
      <c r="CB29" s="8">
        <v>0</v>
      </c>
      <c r="CC29" s="8">
        <v>0</v>
      </c>
      <c r="CD29" s="8">
        <v>0</v>
      </c>
      <c r="CE29" s="9">
        <v>0</v>
      </c>
    </row>
    <row r="30" spans="1:108" ht="17" customHeight="1" x14ac:dyDescent="0.2">
      <c r="A30" s="66"/>
      <c r="C30" s="67" t="s">
        <v>8</v>
      </c>
      <c r="D30" s="10">
        <v>0</v>
      </c>
      <c r="E30" s="1">
        <v>2</v>
      </c>
      <c r="F30" s="1">
        <v>2</v>
      </c>
      <c r="G30" s="1">
        <v>2</v>
      </c>
      <c r="H30" s="1">
        <v>2</v>
      </c>
      <c r="I30" s="1">
        <v>3</v>
      </c>
      <c r="J30" s="1">
        <v>3</v>
      </c>
      <c r="K30" s="1">
        <v>3</v>
      </c>
      <c r="L30" s="1">
        <v>3</v>
      </c>
      <c r="M30" s="1">
        <v>2</v>
      </c>
      <c r="N30" s="1">
        <v>3</v>
      </c>
      <c r="O30" s="1">
        <v>3</v>
      </c>
      <c r="P30" s="1">
        <v>3</v>
      </c>
      <c r="Q30" s="1">
        <v>2</v>
      </c>
      <c r="R30" s="1">
        <v>2</v>
      </c>
      <c r="S30" s="1">
        <v>2</v>
      </c>
      <c r="T30" s="1">
        <v>2</v>
      </c>
      <c r="U30" s="1">
        <v>2</v>
      </c>
      <c r="V30" s="1">
        <v>1</v>
      </c>
      <c r="W30" s="1">
        <v>0</v>
      </c>
      <c r="X30" s="10">
        <v>0</v>
      </c>
      <c r="Y30" s="1">
        <v>3</v>
      </c>
      <c r="Z30" s="1">
        <v>4</v>
      </c>
      <c r="AA30" s="1">
        <v>4</v>
      </c>
      <c r="AB30" s="1">
        <v>4</v>
      </c>
      <c r="AC30" s="1">
        <v>4</v>
      </c>
      <c r="AD30" s="1">
        <v>4</v>
      </c>
      <c r="AE30" s="1">
        <v>4</v>
      </c>
      <c r="AF30" s="1">
        <v>4</v>
      </c>
      <c r="AG30" s="1">
        <v>4</v>
      </c>
      <c r="AH30" s="1">
        <v>4</v>
      </c>
      <c r="AI30" s="1">
        <v>3</v>
      </c>
      <c r="AJ30" s="1">
        <v>3</v>
      </c>
      <c r="AK30" s="1">
        <v>3</v>
      </c>
      <c r="AL30" s="1">
        <v>4</v>
      </c>
      <c r="AM30" s="1">
        <v>3</v>
      </c>
      <c r="AN30" s="1">
        <v>4</v>
      </c>
      <c r="AO30" s="1">
        <v>4</v>
      </c>
      <c r="AP30" s="1">
        <v>3</v>
      </c>
      <c r="AQ30" s="11">
        <v>0</v>
      </c>
      <c r="AR30" s="1">
        <v>0</v>
      </c>
      <c r="AS30" s="1">
        <v>3</v>
      </c>
      <c r="AT30" s="1">
        <v>4</v>
      </c>
      <c r="AU30" s="1">
        <v>4</v>
      </c>
      <c r="AV30" s="1">
        <v>4</v>
      </c>
      <c r="AW30" s="1">
        <v>4</v>
      </c>
      <c r="AX30" s="1">
        <v>4</v>
      </c>
      <c r="AY30" s="1">
        <v>4</v>
      </c>
      <c r="AZ30" s="1">
        <v>4</v>
      </c>
      <c r="BA30" s="1">
        <v>4</v>
      </c>
      <c r="BB30" s="1">
        <v>4</v>
      </c>
      <c r="BC30" s="1">
        <v>4</v>
      </c>
      <c r="BD30" s="1">
        <v>4</v>
      </c>
      <c r="BE30" s="1">
        <v>4</v>
      </c>
      <c r="BF30" s="1">
        <v>4</v>
      </c>
      <c r="BG30" s="1">
        <v>4</v>
      </c>
      <c r="BH30" s="1">
        <v>4</v>
      </c>
      <c r="BI30" s="1">
        <v>4</v>
      </c>
      <c r="BJ30" s="1">
        <v>3</v>
      </c>
      <c r="BK30" s="1">
        <v>0</v>
      </c>
      <c r="BL30" s="10">
        <v>0</v>
      </c>
      <c r="BM30" s="1">
        <v>1</v>
      </c>
      <c r="BN30" s="1">
        <v>2</v>
      </c>
      <c r="BO30" s="1">
        <v>2</v>
      </c>
      <c r="BP30" s="1">
        <v>2</v>
      </c>
      <c r="BQ30" s="1">
        <v>2</v>
      </c>
      <c r="BR30" s="1">
        <v>2</v>
      </c>
      <c r="BS30" s="1">
        <v>2</v>
      </c>
      <c r="BT30" s="1">
        <v>2</v>
      </c>
      <c r="BU30" s="1">
        <v>2</v>
      </c>
      <c r="BV30" s="1">
        <v>2</v>
      </c>
      <c r="BW30" s="1">
        <v>2</v>
      </c>
      <c r="BX30" s="1">
        <v>2</v>
      </c>
      <c r="BY30" s="1">
        <v>2</v>
      </c>
      <c r="BZ30" s="1">
        <v>2</v>
      </c>
      <c r="CA30" s="1">
        <v>2</v>
      </c>
      <c r="CB30" s="1">
        <v>2</v>
      </c>
      <c r="CC30" s="1">
        <v>2</v>
      </c>
      <c r="CD30" s="1">
        <v>2</v>
      </c>
      <c r="CE30" s="11">
        <v>0</v>
      </c>
    </row>
    <row r="31" spans="1:108" ht="17" customHeight="1" x14ac:dyDescent="0.2">
      <c r="A31" s="66"/>
      <c r="C31" s="68"/>
      <c r="D31" s="10">
        <v>0</v>
      </c>
      <c r="E31" s="1">
        <v>2</v>
      </c>
      <c r="F31" s="1">
        <v>2</v>
      </c>
      <c r="G31" s="1">
        <v>2</v>
      </c>
      <c r="H31" s="1">
        <v>2</v>
      </c>
      <c r="I31" s="1">
        <v>3</v>
      </c>
      <c r="J31" s="1">
        <v>3</v>
      </c>
      <c r="K31" s="1">
        <v>2</v>
      </c>
      <c r="L31" s="1">
        <v>4</v>
      </c>
      <c r="M31" s="1">
        <v>13</v>
      </c>
      <c r="N31" s="1">
        <v>1</v>
      </c>
      <c r="O31" s="1">
        <v>3</v>
      </c>
      <c r="P31" s="1">
        <v>2</v>
      </c>
      <c r="Q31" s="1">
        <v>3</v>
      </c>
      <c r="R31" s="1">
        <v>3</v>
      </c>
      <c r="S31" s="1">
        <v>2</v>
      </c>
      <c r="T31" s="1">
        <v>3</v>
      </c>
      <c r="U31" s="1">
        <v>3</v>
      </c>
      <c r="V31" s="1">
        <v>2</v>
      </c>
      <c r="W31" s="1">
        <v>0</v>
      </c>
      <c r="X31" s="10">
        <v>0</v>
      </c>
      <c r="Y31" s="1">
        <v>3</v>
      </c>
      <c r="Z31" s="1">
        <v>4</v>
      </c>
      <c r="AA31" s="1">
        <v>4</v>
      </c>
      <c r="AB31" s="1">
        <v>3</v>
      </c>
      <c r="AC31" s="1">
        <v>4</v>
      </c>
      <c r="AD31" s="1">
        <v>4</v>
      </c>
      <c r="AE31" s="1">
        <v>4</v>
      </c>
      <c r="AF31" s="1">
        <v>4</v>
      </c>
      <c r="AG31" s="1">
        <v>4</v>
      </c>
      <c r="AH31" s="1">
        <v>4</v>
      </c>
      <c r="AI31" s="1">
        <v>4</v>
      </c>
      <c r="AJ31" s="1">
        <v>4</v>
      </c>
      <c r="AK31" s="1">
        <v>3</v>
      </c>
      <c r="AL31" s="1">
        <v>4</v>
      </c>
      <c r="AM31" s="1">
        <v>3</v>
      </c>
      <c r="AN31" s="1">
        <v>4</v>
      </c>
      <c r="AO31" s="1">
        <v>4</v>
      </c>
      <c r="AP31" s="1">
        <v>3</v>
      </c>
      <c r="AQ31" s="11">
        <v>0</v>
      </c>
      <c r="AR31" s="1">
        <v>0</v>
      </c>
      <c r="AS31" s="1">
        <v>3</v>
      </c>
      <c r="AT31" s="1">
        <v>4</v>
      </c>
      <c r="AU31" s="1">
        <v>4</v>
      </c>
      <c r="AV31" s="1">
        <v>4</v>
      </c>
      <c r="AW31" s="1">
        <v>4</v>
      </c>
      <c r="AX31" s="1">
        <v>4</v>
      </c>
      <c r="AY31" s="1">
        <v>4</v>
      </c>
      <c r="AZ31" s="1">
        <v>4</v>
      </c>
      <c r="BA31" s="1">
        <v>3</v>
      </c>
      <c r="BB31" s="1">
        <v>4</v>
      </c>
      <c r="BC31" s="1">
        <v>3</v>
      </c>
      <c r="BD31" s="1">
        <v>3</v>
      </c>
      <c r="BE31" s="1">
        <v>4</v>
      </c>
      <c r="BF31" s="1">
        <v>4</v>
      </c>
      <c r="BG31" s="1">
        <v>4</v>
      </c>
      <c r="BH31" s="1">
        <v>4</v>
      </c>
      <c r="BI31" s="1">
        <v>4</v>
      </c>
      <c r="BJ31" s="1">
        <v>4</v>
      </c>
      <c r="BK31" s="1">
        <v>0</v>
      </c>
      <c r="BL31" s="10">
        <v>0</v>
      </c>
      <c r="BM31" s="1">
        <v>2</v>
      </c>
      <c r="BN31" s="1">
        <v>2</v>
      </c>
      <c r="BO31" s="1">
        <v>2</v>
      </c>
      <c r="BP31" s="1">
        <v>2</v>
      </c>
      <c r="BQ31" s="1">
        <v>2</v>
      </c>
      <c r="BR31" s="1">
        <v>2</v>
      </c>
      <c r="BS31" s="1">
        <v>2</v>
      </c>
      <c r="BT31" s="1">
        <v>2</v>
      </c>
      <c r="BU31" s="1">
        <v>0</v>
      </c>
      <c r="BV31" s="1">
        <v>0</v>
      </c>
      <c r="BW31" s="1">
        <v>1</v>
      </c>
      <c r="BX31" s="1">
        <v>2</v>
      </c>
      <c r="BY31" s="1">
        <v>2</v>
      </c>
      <c r="BZ31" s="1">
        <v>2</v>
      </c>
      <c r="CA31" s="1">
        <v>2</v>
      </c>
      <c r="CB31" s="1">
        <v>2</v>
      </c>
      <c r="CC31" s="1">
        <v>2</v>
      </c>
      <c r="CD31" s="1">
        <v>2</v>
      </c>
      <c r="CE31" s="11">
        <v>0</v>
      </c>
    </row>
    <row r="32" spans="1:108" ht="17" customHeight="1" x14ac:dyDescent="0.2">
      <c r="A32" s="66"/>
      <c r="C32" s="68"/>
      <c r="D32" s="10">
        <v>0</v>
      </c>
      <c r="E32" s="1">
        <v>2</v>
      </c>
      <c r="F32" s="1">
        <v>2</v>
      </c>
      <c r="G32" s="1">
        <v>2</v>
      </c>
      <c r="H32" s="1">
        <v>2</v>
      </c>
      <c r="I32" s="1">
        <v>0</v>
      </c>
      <c r="J32" s="1">
        <v>2</v>
      </c>
      <c r="K32" s="1">
        <v>2</v>
      </c>
      <c r="L32" s="1">
        <v>45</v>
      </c>
      <c r="M32" s="1">
        <v>74</v>
      </c>
      <c r="N32" s="1">
        <v>30</v>
      </c>
      <c r="O32" s="1">
        <v>4</v>
      </c>
      <c r="P32" s="1">
        <v>7</v>
      </c>
      <c r="Q32" s="1">
        <v>1</v>
      </c>
      <c r="R32" s="1">
        <v>1</v>
      </c>
      <c r="S32" s="1">
        <v>3</v>
      </c>
      <c r="T32" s="1">
        <v>2</v>
      </c>
      <c r="U32" s="1">
        <v>2</v>
      </c>
      <c r="V32" s="1">
        <v>2</v>
      </c>
      <c r="W32" s="1">
        <v>0</v>
      </c>
      <c r="X32" s="10">
        <v>0</v>
      </c>
      <c r="Y32" s="1">
        <v>3</v>
      </c>
      <c r="Z32" s="1">
        <v>4</v>
      </c>
      <c r="AA32" s="1">
        <v>4</v>
      </c>
      <c r="AB32" s="1">
        <v>4</v>
      </c>
      <c r="AC32" s="1">
        <v>4</v>
      </c>
      <c r="AD32" s="1">
        <v>4</v>
      </c>
      <c r="AE32" s="1">
        <v>5</v>
      </c>
      <c r="AF32" s="1">
        <v>5</v>
      </c>
      <c r="AG32" s="1">
        <v>4</v>
      </c>
      <c r="AH32" s="1">
        <v>4</v>
      </c>
      <c r="AI32" s="1">
        <v>5</v>
      </c>
      <c r="AJ32" s="1">
        <v>4</v>
      </c>
      <c r="AK32" s="1">
        <v>4</v>
      </c>
      <c r="AL32" s="1">
        <v>4</v>
      </c>
      <c r="AM32" s="1">
        <v>3</v>
      </c>
      <c r="AN32" s="1">
        <v>4</v>
      </c>
      <c r="AO32" s="1">
        <v>4</v>
      </c>
      <c r="AP32" s="1">
        <v>4</v>
      </c>
      <c r="AQ32" s="11">
        <v>0</v>
      </c>
      <c r="AR32" s="1">
        <v>0</v>
      </c>
      <c r="AS32" s="1">
        <v>4</v>
      </c>
      <c r="AT32" s="1">
        <v>4</v>
      </c>
      <c r="AU32" s="1">
        <v>4</v>
      </c>
      <c r="AV32" s="1">
        <v>3</v>
      </c>
      <c r="AW32" s="1">
        <v>3</v>
      </c>
      <c r="AX32" s="1">
        <v>3</v>
      </c>
      <c r="AY32" s="1">
        <v>4</v>
      </c>
      <c r="AZ32" s="1">
        <v>5</v>
      </c>
      <c r="BA32" s="1">
        <v>5</v>
      </c>
      <c r="BB32" s="1">
        <v>4</v>
      </c>
      <c r="BC32" s="1">
        <v>4</v>
      </c>
      <c r="BD32" s="1">
        <v>3</v>
      </c>
      <c r="BE32" s="1">
        <v>3</v>
      </c>
      <c r="BF32" s="1">
        <v>3</v>
      </c>
      <c r="BG32" s="1">
        <v>4</v>
      </c>
      <c r="BH32" s="1">
        <v>4</v>
      </c>
      <c r="BI32" s="1">
        <v>4</v>
      </c>
      <c r="BJ32" s="1">
        <v>4</v>
      </c>
      <c r="BK32" s="1">
        <v>1</v>
      </c>
      <c r="BL32" s="10">
        <v>0</v>
      </c>
      <c r="BM32" s="1">
        <v>2</v>
      </c>
      <c r="BN32" s="1">
        <v>2</v>
      </c>
      <c r="BO32" s="1">
        <v>2</v>
      </c>
      <c r="BP32" s="1">
        <v>3</v>
      </c>
      <c r="BQ32" s="1">
        <v>3</v>
      </c>
      <c r="BR32" s="1">
        <v>0</v>
      </c>
      <c r="BS32" s="1">
        <v>0</v>
      </c>
      <c r="BT32" s="1">
        <v>10</v>
      </c>
      <c r="BU32" s="1">
        <v>29</v>
      </c>
      <c r="BV32" s="1">
        <v>33</v>
      </c>
      <c r="BW32" s="1">
        <v>17</v>
      </c>
      <c r="BX32" s="1">
        <v>0</v>
      </c>
      <c r="BY32" s="1">
        <v>0</v>
      </c>
      <c r="BZ32" s="1">
        <v>3</v>
      </c>
      <c r="CA32" s="1">
        <v>2</v>
      </c>
      <c r="CB32" s="1">
        <v>2</v>
      </c>
      <c r="CC32" s="1">
        <v>2</v>
      </c>
      <c r="CD32" s="1">
        <v>2</v>
      </c>
      <c r="CE32" s="11">
        <v>0</v>
      </c>
    </row>
    <row r="33" spans="1:83" ht="17" customHeight="1" x14ac:dyDescent="0.2">
      <c r="A33" s="66"/>
      <c r="C33" s="68"/>
      <c r="D33" s="10">
        <v>1</v>
      </c>
      <c r="E33" s="1">
        <v>3</v>
      </c>
      <c r="F33" s="1">
        <v>3</v>
      </c>
      <c r="G33" s="1">
        <v>0</v>
      </c>
      <c r="H33" s="1">
        <v>9</v>
      </c>
      <c r="I33" s="1">
        <v>32</v>
      </c>
      <c r="J33" s="1">
        <v>37</v>
      </c>
      <c r="K33" s="1">
        <v>54</v>
      </c>
      <c r="L33" s="1">
        <v>72</v>
      </c>
      <c r="M33" s="1">
        <v>82</v>
      </c>
      <c r="N33" s="1">
        <v>67</v>
      </c>
      <c r="O33" s="1">
        <v>49</v>
      </c>
      <c r="P33" s="1">
        <v>42</v>
      </c>
      <c r="Q33" s="1">
        <v>47</v>
      </c>
      <c r="R33" s="1">
        <v>17</v>
      </c>
      <c r="S33" s="1">
        <v>0</v>
      </c>
      <c r="T33" s="1">
        <v>3</v>
      </c>
      <c r="U33" s="1">
        <v>3</v>
      </c>
      <c r="V33" s="1">
        <v>2</v>
      </c>
      <c r="W33" s="1">
        <v>0</v>
      </c>
      <c r="X33" s="10">
        <v>0</v>
      </c>
      <c r="Y33" s="1">
        <v>3</v>
      </c>
      <c r="Z33" s="1">
        <v>4</v>
      </c>
      <c r="AA33" s="1">
        <v>3</v>
      </c>
      <c r="AB33" s="1">
        <v>4</v>
      </c>
      <c r="AC33" s="1">
        <v>5</v>
      </c>
      <c r="AD33" s="1">
        <v>5</v>
      </c>
      <c r="AE33" s="1">
        <v>2</v>
      </c>
      <c r="AF33" s="1">
        <v>2</v>
      </c>
      <c r="AG33" s="1">
        <v>6</v>
      </c>
      <c r="AH33" s="1">
        <v>6</v>
      </c>
      <c r="AI33" s="1">
        <v>1</v>
      </c>
      <c r="AJ33" s="1">
        <v>1</v>
      </c>
      <c r="AK33" s="1">
        <v>4</v>
      </c>
      <c r="AL33" s="1">
        <v>4</v>
      </c>
      <c r="AM33" s="1">
        <v>3</v>
      </c>
      <c r="AN33" s="1">
        <v>3</v>
      </c>
      <c r="AO33" s="1">
        <v>4</v>
      </c>
      <c r="AP33" s="1">
        <v>4</v>
      </c>
      <c r="AQ33" s="11">
        <v>1</v>
      </c>
      <c r="AR33" s="1">
        <v>1</v>
      </c>
      <c r="AS33" s="1">
        <v>3</v>
      </c>
      <c r="AT33" s="1">
        <v>4</v>
      </c>
      <c r="AU33" s="1">
        <v>3</v>
      </c>
      <c r="AV33" s="1">
        <v>3</v>
      </c>
      <c r="AW33" s="1">
        <v>4</v>
      </c>
      <c r="AX33" s="1">
        <v>5</v>
      </c>
      <c r="AY33" s="1">
        <v>5</v>
      </c>
      <c r="AZ33" s="1">
        <v>4</v>
      </c>
      <c r="BA33" s="1">
        <v>3</v>
      </c>
      <c r="BB33" s="1">
        <v>3</v>
      </c>
      <c r="BC33" s="1">
        <v>4</v>
      </c>
      <c r="BD33" s="1">
        <v>5</v>
      </c>
      <c r="BE33" s="1">
        <v>4</v>
      </c>
      <c r="BF33" s="1">
        <v>3</v>
      </c>
      <c r="BG33" s="1">
        <v>3</v>
      </c>
      <c r="BH33" s="1">
        <v>4</v>
      </c>
      <c r="BI33" s="1">
        <v>4</v>
      </c>
      <c r="BJ33" s="1">
        <v>4</v>
      </c>
      <c r="BK33" s="1">
        <v>1</v>
      </c>
      <c r="BL33" s="10">
        <v>0</v>
      </c>
      <c r="BM33" s="1">
        <v>2</v>
      </c>
      <c r="BN33" s="1">
        <v>3</v>
      </c>
      <c r="BO33" s="1">
        <v>3</v>
      </c>
      <c r="BP33" s="1">
        <v>3</v>
      </c>
      <c r="BQ33" s="1">
        <v>0</v>
      </c>
      <c r="BR33" s="1">
        <v>24</v>
      </c>
      <c r="BS33" s="1">
        <v>85</v>
      </c>
      <c r="BT33" s="1">
        <v>116</v>
      </c>
      <c r="BU33" s="1">
        <v>118</v>
      </c>
      <c r="BV33" s="1">
        <v>122</v>
      </c>
      <c r="BW33" s="1">
        <v>125</v>
      </c>
      <c r="BX33" s="1">
        <v>95</v>
      </c>
      <c r="BY33" s="1">
        <v>27</v>
      </c>
      <c r="BZ33" s="1">
        <v>0</v>
      </c>
      <c r="CA33" s="1">
        <v>3</v>
      </c>
      <c r="CB33" s="1">
        <v>2</v>
      </c>
      <c r="CC33" s="1">
        <v>3</v>
      </c>
      <c r="CD33" s="1">
        <v>2</v>
      </c>
      <c r="CE33" s="11">
        <v>0</v>
      </c>
    </row>
    <row r="34" spans="1:83" ht="17" customHeight="1" x14ac:dyDescent="0.2">
      <c r="A34" s="66"/>
      <c r="C34" s="68"/>
      <c r="D34" s="10">
        <v>1</v>
      </c>
      <c r="E34" s="1">
        <v>3</v>
      </c>
      <c r="F34" s="1">
        <v>1</v>
      </c>
      <c r="G34" s="1">
        <v>26</v>
      </c>
      <c r="H34" s="1">
        <v>83</v>
      </c>
      <c r="I34" s="1">
        <v>85</v>
      </c>
      <c r="J34" s="1">
        <v>59</v>
      </c>
      <c r="K34" s="1">
        <v>101</v>
      </c>
      <c r="L34" s="1">
        <v>80</v>
      </c>
      <c r="M34" s="1">
        <v>86</v>
      </c>
      <c r="N34" s="1">
        <v>77</v>
      </c>
      <c r="O34" s="1">
        <v>88</v>
      </c>
      <c r="P34" s="1">
        <v>61</v>
      </c>
      <c r="Q34" s="1">
        <v>89</v>
      </c>
      <c r="R34" s="1">
        <v>78</v>
      </c>
      <c r="S34" s="1">
        <v>38</v>
      </c>
      <c r="T34" s="1">
        <v>0</v>
      </c>
      <c r="U34" s="1">
        <v>3</v>
      </c>
      <c r="V34" s="1">
        <v>3</v>
      </c>
      <c r="W34" s="1">
        <v>0</v>
      </c>
      <c r="X34" s="10">
        <v>1</v>
      </c>
      <c r="Y34" s="1">
        <v>3</v>
      </c>
      <c r="Z34" s="1">
        <v>4</v>
      </c>
      <c r="AA34" s="1">
        <v>4</v>
      </c>
      <c r="AB34" s="1">
        <v>5</v>
      </c>
      <c r="AC34" s="1">
        <v>5</v>
      </c>
      <c r="AD34" s="1">
        <v>4</v>
      </c>
      <c r="AE34" s="1">
        <v>44</v>
      </c>
      <c r="AF34" s="1">
        <v>105</v>
      </c>
      <c r="AG34" s="1">
        <v>130</v>
      </c>
      <c r="AH34" s="1">
        <v>132</v>
      </c>
      <c r="AI34" s="1">
        <v>108</v>
      </c>
      <c r="AJ34" s="1">
        <v>48</v>
      </c>
      <c r="AK34" s="1">
        <v>3</v>
      </c>
      <c r="AL34" s="1">
        <v>4</v>
      </c>
      <c r="AM34" s="1">
        <v>4</v>
      </c>
      <c r="AN34" s="1">
        <v>4</v>
      </c>
      <c r="AO34" s="1">
        <v>4</v>
      </c>
      <c r="AP34" s="1">
        <v>4</v>
      </c>
      <c r="AQ34" s="11">
        <v>1</v>
      </c>
      <c r="AR34" s="1">
        <v>1</v>
      </c>
      <c r="AS34" s="1">
        <v>4</v>
      </c>
      <c r="AT34" s="1">
        <v>3</v>
      </c>
      <c r="AU34" s="1">
        <v>3</v>
      </c>
      <c r="AV34" s="1">
        <v>3</v>
      </c>
      <c r="AW34" s="1">
        <v>5</v>
      </c>
      <c r="AX34" s="1">
        <v>5</v>
      </c>
      <c r="AY34" s="1">
        <v>3</v>
      </c>
      <c r="AZ34" s="1">
        <v>8</v>
      </c>
      <c r="BA34" s="1">
        <v>20</v>
      </c>
      <c r="BB34" s="1">
        <v>22</v>
      </c>
      <c r="BC34" s="1">
        <v>10</v>
      </c>
      <c r="BD34" s="1">
        <v>2</v>
      </c>
      <c r="BE34" s="1">
        <v>4</v>
      </c>
      <c r="BF34" s="1">
        <v>5</v>
      </c>
      <c r="BG34" s="1">
        <v>4</v>
      </c>
      <c r="BH34" s="1">
        <v>4</v>
      </c>
      <c r="BI34" s="1">
        <v>4</v>
      </c>
      <c r="BJ34" s="1">
        <v>4</v>
      </c>
      <c r="BK34" s="1">
        <v>1</v>
      </c>
      <c r="BL34" s="10">
        <v>0</v>
      </c>
      <c r="BM34" s="1">
        <v>2</v>
      </c>
      <c r="BN34" s="1">
        <v>3</v>
      </c>
      <c r="BO34" s="1">
        <v>3</v>
      </c>
      <c r="BP34" s="1">
        <v>0</v>
      </c>
      <c r="BQ34" s="1">
        <v>52</v>
      </c>
      <c r="BR34" s="1">
        <v>125</v>
      </c>
      <c r="BS34" s="1">
        <v>109</v>
      </c>
      <c r="BT34" s="1">
        <v>73</v>
      </c>
      <c r="BU34" s="1">
        <v>60</v>
      </c>
      <c r="BV34" s="1">
        <v>65</v>
      </c>
      <c r="BW34" s="1">
        <v>67</v>
      </c>
      <c r="BX34" s="1">
        <v>88</v>
      </c>
      <c r="BY34" s="1">
        <v>121</v>
      </c>
      <c r="BZ34" s="1">
        <v>56</v>
      </c>
      <c r="CA34" s="1">
        <v>0</v>
      </c>
      <c r="CB34" s="1">
        <v>2</v>
      </c>
      <c r="CC34" s="1">
        <v>3</v>
      </c>
      <c r="CD34" s="1">
        <v>2</v>
      </c>
      <c r="CE34" s="11">
        <v>0</v>
      </c>
    </row>
    <row r="35" spans="1:83" ht="17" customHeight="1" x14ac:dyDescent="0.2">
      <c r="A35" s="66"/>
      <c r="C35" s="68"/>
      <c r="D35" s="10">
        <v>1</v>
      </c>
      <c r="E35" s="1">
        <v>2</v>
      </c>
      <c r="F35" s="1">
        <v>6</v>
      </c>
      <c r="G35" s="1">
        <v>90</v>
      </c>
      <c r="H35" s="1">
        <v>86</v>
      </c>
      <c r="I35" s="1">
        <v>88</v>
      </c>
      <c r="J35" s="1">
        <v>100</v>
      </c>
      <c r="K35" s="1">
        <v>82</v>
      </c>
      <c r="L35" s="1">
        <v>59</v>
      </c>
      <c r="M35" s="1">
        <v>80</v>
      </c>
      <c r="N35" s="1">
        <v>55</v>
      </c>
      <c r="O35" s="1">
        <v>81</v>
      </c>
      <c r="P35" s="1">
        <v>99</v>
      </c>
      <c r="Q35" s="1">
        <v>65</v>
      </c>
      <c r="R35" s="1">
        <v>75</v>
      </c>
      <c r="S35" s="1">
        <v>103</v>
      </c>
      <c r="T35" s="1">
        <v>27</v>
      </c>
      <c r="U35" s="1">
        <v>1</v>
      </c>
      <c r="V35" s="1">
        <v>3</v>
      </c>
      <c r="W35" s="1">
        <v>0</v>
      </c>
      <c r="X35" s="10">
        <v>1</v>
      </c>
      <c r="Y35" s="1">
        <v>4</v>
      </c>
      <c r="Z35" s="1">
        <v>4</v>
      </c>
      <c r="AA35" s="1">
        <v>5</v>
      </c>
      <c r="AB35" s="1">
        <v>5</v>
      </c>
      <c r="AC35" s="1">
        <v>4</v>
      </c>
      <c r="AD35" s="1">
        <v>71</v>
      </c>
      <c r="AE35" s="1">
        <v>144</v>
      </c>
      <c r="AF35" s="1">
        <v>115</v>
      </c>
      <c r="AG35" s="1">
        <v>98</v>
      </c>
      <c r="AH35" s="1">
        <v>102</v>
      </c>
      <c r="AI35" s="1">
        <v>129</v>
      </c>
      <c r="AJ35" s="1">
        <v>155</v>
      </c>
      <c r="AK35" s="1">
        <v>79</v>
      </c>
      <c r="AL35" s="1">
        <v>1</v>
      </c>
      <c r="AM35" s="1">
        <v>5</v>
      </c>
      <c r="AN35" s="1">
        <v>4</v>
      </c>
      <c r="AO35" s="1">
        <v>4</v>
      </c>
      <c r="AP35" s="1">
        <v>4</v>
      </c>
      <c r="AQ35" s="11">
        <v>1</v>
      </c>
      <c r="AR35" s="1">
        <v>1</v>
      </c>
      <c r="AS35" s="1">
        <v>4</v>
      </c>
      <c r="AT35" s="1">
        <v>4</v>
      </c>
      <c r="AU35" s="1">
        <v>4</v>
      </c>
      <c r="AV35" s="1">
        <v>4</v>
      </c>
      <c r="AW35" s="1">
        <v>5</v>
      </c>
      <c r="AX35" s="1">
        <v>4</v>
      </c>
      <c r="AY35" s="1">
        <v>43</v>
      </c>
      <c r="AZ35" s="1">
        <v>109</v>
      </c>
      <c r="BA35" s="1">
        <v>142</v>
      </c>
      <c r="BB35" s="1">
        <v>151</v>
      </c>
      <c r="BC35" s="1">
        <v>131</v>
      </c>
      <c r="BD35" s="1">
        <v>60</v>
      </c>
      <c r="BE35" s="1">
        <v>6</v>
      </c>
      <c r="BF35" s="1">
        <v>5</v>
      </c>
      <c r="BG35" s="1">
        <v>5</v>
      </c>
      <c r="BH35" s="1">
        <v>4</v>
      </c>
      <c r="BI35" s="1">
        <v>4</v>
      </c>
      <c r="BJ35" s="1">
        <v>4</v>
      </c>
      <c r="BK35" s="1">
        <v>1</v>
      </c>
      <c r="BL35" s="10">
        <v>0</v>
      </c>
      <c r="BM35" s="1">
        <v>3</v>
      </c>
      <c r="BN35" s="1">
        <v>3</v>
      </c>
      <c r="BO35" s="1">
        <v>0</v>
      </c>
      <c r="BP35" s="1">
        <v>44</v>
      </c>
      <c r="BQ35" s="1">
        <v>109</v>
      </c>
      <c r="BR35" s="1">
        <v>78</v>
      </c>
      <c r="BS35" s="1">
        <v>66</v>
      </c>
      <c r="BT35" s="1">
        <v>67</v>
      </c>
      <c r="BU35" s="1">
        <v>74</v>
      </c>
      <c r="BV35" s="1">
        <v>72</v>
      </c>
      <c r="BW35" s="1">
        <v>68</v>
      </c>
      <c r="BX35" s="1">
        <v>55</v>
      </c>
      <c r="BY35" s="1">
        <v>70</v>
      </c>
      <c r="BZ35" s="1">
        <v>107</v>
      </c>
      <c r="CA35" s="1">
        <v>59</v>
      </c>
      <c r="CB35" s="1">
        <v>1</v>
      </c>
      <c r="CC35" s="1">
        <v>3</v>
      </c>
      <c r="CD35" s="1">
        <v>3</v>
      </c>
      <c r="CE35" s="11">
        <v>0</v>
      </c>
    </row>
    <row r="36" spans="1:83" ht="17" customHeight="1" x14ac:dyDescent="0.2">
      <c r="A36" s="66"/>
      <c r="C36" s="68"/>
      <c r="D36" s="10">
        <v>1</v>
      </c>
      <c r="E36" s="1">
        <v>0</v>
      </c>
      <c r="F36" s="1">
        <v>34</v>
      </c>
      <c r="G36" s="1">
        <v>100</v>
      </c>
      <c r="H36" s="1">
        <v>70</v>
      </c>
      <c r="I36" s="1">
        <v>61</v>
      </c>
      <c r="J36" s="1">
        <v>84</v>
      </c>
      <c r="K36" s="1">
        <v>27</v>
      </c>
      <c r="L36" s="1">
        <v>40</v>
      </c>
      <c r="M36" s="1">
        <v>65</v>
      </c>
      <c r="N36" s="1">
        <v>48</v>
      </c>
      <c r="O36" s="1">
        <v>55</v>
      </c>
      <c r="P36" s="1">
        <v>94</v>
      </c>
      <c r="Q36" s="1">
        <v>56</v>
      </c>
      <c r="R36" s="1">
        <v>70</v>
      </c>
      <c r="S36" s="1">
        <v>110</v>
      </c>
      <c r="T36" s="1">
        <v>71</v>
      </c>
      <c r="U36" s="1">
        <v>0</v>
      </c>
      <c r="V36" s="1">
        <v>3</v>
      </c>
      <c r="W36" s="1">
        <v>1</v>
      </c>
      <c r="X36" s="10">
        <v>1</v>
      </c>
      <c r="Y36" s="1">
        <v>4</v>
      </c>
      <c r="Z36" s="1">
        <v>5</v>
      </c>
      <c r="AA36" s="1">
        <v>5</v>
      </c>
      <c r="AB36" s="1">
        <v>2</v>
      </c>
      <c r="AC36" s="1">
        <v>44</v>
      </c>
      <c r="AD36" s="1">
        <v>137</v>
      </c>
      <c r="AE36" s="1">
        <v>76</v>
      </c>
      <c r="AF36" s="1">
        <v>63</v>
      </c>
      <c r="AG36" s="1">
        <v>85</v>
      </c>
      <c r="AH36" s="1">
        <v>95</v>
      </c>
      <c r="AI36" s="1">
        <v>63</v>
      </c>
      <c r="AJ36" s="1">
        <v>79</v>
      </c>
      <c r="AK36" s="1">
        <v>153</v>
      </c>
      <c r="AL36" s="1">
        <v>57</v>
      </c>
      <c r="AM36" s="1">
        <v>1</v>
      </c>
      <c r="AN36" s="1">
        <v>5</v>
      </c>
      <c r="AO36" s="1">
        <v>4</v>
      </c>
      <c r="AP36" s="1">
        <v>4</v>
      </c>
      <c r="AQ36" s="11">
        <v>1</v>
      </c>
      <c r="AR36" s="1">
        <v>1</v>
      </c>
      <c r="AS36" s="1">
        <v>4</v>
      </c>
      <c r="AT36" s="1">
        <v>4</v>
      </c>
      <c r="AU36" s="1">
        <v>4</v>
      </c>
      <c r="AV36" s="1">
        <v>5</v>
      </c>
      <c r="AW36" s="1">
        <v>3</v>
      </c>
      <c r="AX36" s="1">
        <v>44</v>
      </c>
      <c r="AY36" s="1">
        <v>131</v>
      </c>
      <c r="AZ36" s="1">
        <v>125</v>
      </c>
      <c r="BA36" s="1">
        <v>95</v>
      </c>
      <c r="BB36" s="1">
        <v>92</v>
      </c>
      <c r="BC36" s="1">
        <v>132</v>
      </c>
      <c r="BD36" s="1">
        <v>160</v>
      </c>
      <c r="BE36" s="1">
        <v>71</v>
      </c>
      <c r="BF36" s="1">
        <v>2</v>
      </c>
      <c r="BG36" s="1">
        <v>5</v>
      </c>
      <c r="BH36" s="1">
        <v>4</v>
      </c>
      <c r="BI36" s="1">
        <v>4</v>
      </c>
      <c r="BJ36" s="1">
        <v>4</v>
      </c>
      <c r="BK36" s="1">
        <v>1</v>
      </c>
      <c r="BL36" s="10">
        <v>1</v>
      </c>
      <c r="BM36" s="1">
        <v>3</v>
      </c>
      <c r="BN36" s="1">
        <v>2</v>
      </c>
      <c r="BO36" s="1">
        <v>14</v>
      </c>
      <c r="BP36" s="1">
        <v>105</v>
      </c>
      <c r="BQ36" s="1">
        <v>79</v>
      </c>
      <c r="BR36" s="1">
        <v>71</v>
      </c>
      <c r="BS36" s="1">
        <v>77</v>
      </c>
      <c r="BT36" s="1">
        <v>84</v>
      </c>
      <c r="BU36" s="1">
        <v>78</v>
      </c>
      <c r="BV36" s="1">
        <v>74</v>
      </c>
      <c r="BW36" s="1">
        <v>70</v>
      </c>
      <c r="BX36" s="1">
        <v>83</v>
      </c>
      <c r="BY36" s="1">
        <v>98</v>
      </c>
      <c r="BZ36" s="1">
        <v>70</v>
      </c>
      <c r="CA36" s="1">
        <v>83</v>
      </c>
      <c r="CB36" s="1">
        <v>34</v>
      </c>
      <c r="CC36" s="1">
        <v>0</v>
      </c>
      <c r="CD36" s="1">
        <v>3</v>
      </c>
      <c r="CE36" s="11">
        <v>1</v>
      </c>
    </row>
    <row r="37" spans="1:83" ht="17" customHeight="1" x14ac:dyDescent="0.2">
      <c r="A37" s="66"/>
      <c r="C37" s="68"/>
      <c r="D37" s="10">
        <v>1</v>
      </c>
      <c r="E37" s="1">
        <v>0</v>
      </c>
      <c r="F37" s="1">
        <v>63</v>
      </c>
      <c r="G37" s="1">
        <v>96</v>
      </c>
      <c r="H37" s="1">
        <v>64</v>
      </c>
      <c r="I37" s="1">
        <v>73</v>
      </c>
      <c r="J37" s="1">
        <v>99</v>
      </c>
      <c r="K37" s="1">
        <v>91</v>
      </c>
      <c r="L37" s="1">
        <v>56</v>
      </c>
      <c r="M37" s="1">
        <v>61</v>
      </c>
      <c r="N37" s="1">
        <v>51</v>
      </c>
      <c r="O37" s="1">
        <v>88</v>
      </c>
      <c r="P37" s="1">
        <v>89</v>
      </c>
      <c r="Q37" s="1">
        <v>77</v>
      </c>
      <c r="R37" s="1">
        <v>58</v>
      </c>
      <c r="S37" s="1">
        <v>106</v>
      </c>
      <c r="T37" s="1">
        <v>89</v>
      </c>
      <c r="U37" s="1">
        <v>3</v>
      </c>
      <c r="V37" s="1">
        <v>3</v>
      </c>
      <c r="W37" s="1">
        <v>1</v>
      </c>
      <c r="X37" s="10">
        <v>1</v>
      </c>
      <c r="Y37" s="1">
        <v>4</v>
      </c>
      <c r="Z37" s="1">
        <v>5</v>
      </c>
      <c r="AA37" s="1">
        <v>5</v>
      </c>
      <c r="AB37" s="1">
        <v>10</v>
      </c>
      <c r="AC37" s="1">
        <v>112</v>
      </c>
      <c r="AD37" s="1">
        <v>106</v>
      </c>
      <c r="AE37" s="1">
        <v>64</v>
      </c>
      <c r="AF37" s="1">
        <v>71</v>
      </c>
      <c r="AG37" s="1">
        <v>87</v>
      </c>
      <c r="AH37" s="1">
        <v>91</v>
      </c>
      <c r="AI37" s="1">
        <v>80</v>
      </c>
      <c r="AJ37" s="1">
        <v>72</v>
      </c>
      <c r="AK37" s="1">
        <v>103</v>
      </c>
      <c r="AL37" s="1">
        <v>147</v>
      </c>
      <c r="AM37" s="1">
        <v>18</v>
      </c>
      <c r="AN37" s="1">
        <v>3</v>
      </c>
      <c r="AO37" s="1">
        <v>5</v>
      </c>
      <c r="AP37" s="1">
        <v>4</v>
      </c>
      <c r="AQ37" s="11">
        <v>1</v>
      </c>
      <c r="AR37" s="1">
        <v>1</v>
      </c>
      <c r="AS37" s="1">
        <v>4</v>
      </c>
      <c r="AT37" s="1">
        <v>4</v>
      </c>
      <c r="AU37" s="1">
        <v>5</v>
      </c>
      <c r="AV37" s="1">
        <v>4</v>
      </c>
      <c r="AW37" s="1">
        <v>16</v>
      </c>
      <c r="AX37" s="1">
        <v>115</v>
      </c>
      <c r="AY37" s="1">
        <v>103</v>
      </c>
      <c r="AZ37" s="1">
        <v>64</v>
      </c>
      <c r="BA37" s="1">
        <v>86</v>
      </c>
      <c r="BB37" s="1">
        <v>82</v>
      </c>
      <c r="BC37" s="1">
        <v>68</v>
      </c>
      <c r="BD37" s="1">
        <v>104</v>
      </c>
      <c r="BE37" s="1">
        <v>162</v>
      </c>
      <c r="BF37" s="1">
        <v>41</v>
      </c>
      <c r="BG37" s="1">
        <v>1</v>
      </c>
      <c r="BH37" s="1">
        <v>5</v>
      </c>
      <c r="BI37" s="1">
        <v>4</v>
      </c>
      <c r="BJ37" s="1">
        <v>4</v>
      </c>
      <c r="BK37" s="1">
        <v>1</v>
      </c>
      <c r="BL37" s="10">
        <v>1</v>
      </c>
      <c r="BM37" s="1">
        <v>3</v>
      </c>
      <c r="BN37" s="1">
        <v>0</v>
      </c>
      <c r="BO37" s="1">
        <v>68</v>
      </c>
      <c r="BP37" s="1">
        <v>94</v>
      </c>
      <c r="BQ37" s="1">
        <v>66</v>
      </c>
      <c r="BR37" s="1">
        <v>77</v>
      </c>
      <c r="BS37" s="1">
        <v>86</v>
      </c>
      <c r="BT37" s="1">
        <v>86</v>
      </c>
      <c r="BU37" s="1">
        <v>72</v>
      </c>
      <c r="BV37" s="1">
        <v>77</v>
      </c>
      <c r="BW37" s="1">
        <v>103</v>
      </c>
      <c r="BX37" s="1">
        <v>105</v>
      </c>
      <c r="BY37" s="1">
        <v>96</v>
      </c>
      <c r="BZ37" s="1">
        <v>96</v>
      </c>
      <c r="CA37" s="1">
        <v>67</v>
      </c>
      <c r="CB37" s="1">
        <v>71</v>
      </c>
      <c r="CC37" s="1">
        <v>4</v>
      </c>
      <c r="CD37" s="1">
        <v>3</v>
      </c>
      <c r="CE37" s="11">
        <v>1</v>
      </c>
    </row>
    <row r="38" spans="1:83" ht="17" customHeight="1" x14ac:dyDescent="0.2">
      <c r="A38" s="66"/>
      <c r="C38" s="68"/>
      <c r="D38" s="10">
        <v>1</v>
      </c>
      <c r="E38" s="1">
        <v>1</v>
      </c>
      <c r="F38" s="1">
        <v>78</v>
      </c>
      <c r="G38" s="1">
        <v>95</v>
      </c>
      <c r="H38" s="1">
        <v>81</v>
      </c>
      <c r="I38" s="1">
        <v>85</v>
      </c>
      <c r="J38" s="1">
        <v>73</v>
      </c>
      <c r="K38" s="1">
        <v>41</v>
      </c>
      <c r="L38" s="1">
        <v>11</v>
      </c>
      <c r="M38" s="1">
        <v>22</v>
      </c>
      <c r="N38" s="1">
        <v>15</v>
      </c>
      <c r="O38" s="1">
        <v>53</v>
      </c>
      <c r="P38" s="1">
        <v>53</v>
      </c>
      <c r="Q38" s="1">
        <v>48</v>
      </c>
      <c r="R38" s="1">
        <v>68</v>
      </c>
      <c r="S38" s="1">
        <v>99</v>
      </c>
      <c r="T38" s="1">
        <v>98</v>
      </c>
      <c r="U38" s="1">
        <v>5</v>
      </c>
      <c r="V38" s="1">
        <v>3</v>
      </c>
      <c r="W38" s="1">
        <v>1</v>
      </c>
      <c r="X38" s="10">
        <v>1</v>
      </c>
      <c r="Y38" s="1">
        <v>5</v>
      </c>
      <c r="Z38" s="1">
        <v>5</v>
      </c>
      <c r="AA38" s="1">
        <v>2</v>
      </c>
      <c r="AB38" s="1">
        <v>55</v>
      </c>
      <c r="AC38" s="1">
        <v>134</v>
      </c>
      <c r="AD38" s="1">
        <v>71</v>
      </c>
      <c r="AE38" s="1">
        <v>79</v>
      </c>
      <c r="AF38" s="1">
        <v>128</v>
      </c>
      <c r="AG38" s="1">
        <v>172</v>
      </c>
      <c r="AH38" s="1">
        <v>120</v>
      </c>
      <c r="AI38" s="1">
        <v>82</v>
      </c>
      <c r="AJ38" s="1">
        <v>81</v>
      </c>
      <c r="AK38" s="1">
        <v>68</v>
      </c>
      <c r="AL38" s="1">
        <v>141</v>
      </c>
      <c r="AM38" s="1">
        <v>94</v>
      </c>
      <c r="AN38" s="1">
        <v>1</v>
      </c>
      <c r="AO38" s="1">
        <v>4</v>
      </c>
      <c r="AP38" s="1">
        <v>4</v>
      </c>
      <c r="AQ38" s="11">
        <v>1</v>
      </c>
      <c r="AR38" s="1">
        <v>1</v>
      </c>
      <c r="AS38" s="1">
        <v>4</v>
      </c>
      <c r="AT38" s="1">
        <v>5</v>
      </c>
      <c r="AU38" s="1">
        <v>5</v>
      </c>
      <c r="AV38" s="1">
        <v>2</v>
      </c>
      <c r="AW38" s="1">
        <v>66</v>
      </c>
      <c r="AX38" s="1">
        <v>127</v>
      </c>
      <c r="AY38" s="1">
        <v>73</v>
      </c>
      <c r="AZ38" s="1">
        <v>131</v>
      </c>
      <c r="BA38" s="1">
        <v>164</v>
      </c>
      <c r="BB38" s="1">
        <v>123</v>
      </c>
      <c r="BC38" s="1">
        <v>72</v>
      </c>
      <c r="BD38" s="1">
        <v>70</v>
      </c>
      <c r="BE38" s="1">
        <v>140</v>
      </c>
      <c r="BF38" s="1">
        <v>131</v>
      </c>
      <c r="BG38" s="1">
        <v>8</v>
      </c>
      <c r="BH38" s="1">
        <v>4</v>
      </c>
      <c r="BI38" s="1">
        <v>4</v>
      </c>
      <c r="BJ38" s="1">
        <v>4</v>
      </c>
      <c r="BK38" s="1">
        <v>2</v>
      </c>
      <c r="BL38" s="10">
        <v>1</v>
      </c>
      <c r="BM38" s="1">
        <v>2</v>
      </c>
      <c r="BN38" s="1">
        <v>11</v>
      </c>
      <c r="BO38" s="1">
        <v>107</v>
      </c>
      <c r="BP38" s="1">
        <v>72</v>
      </c>
      <c r="BQ38" s="1">
        <v>81</v>
      </c>
      <c r="BR38" s="1">
        <v>84</v>
      </c>
      <c r="BS38" s="1">
        <v>87</v>
      </c>
      <c r="BT38" s="1">
        <v>89</v>
      </c>
      <c r="BU38" s="1">
        <v>75</v>
      </c>
      <c r="BV38" s="1">
        <v>82</v>
      </c>
      <c r="BW38" s="1">
        <v>115</v>
      </c>
      <c r="BX38" s="1">
        <v>95</v>
      </c>
      <c r="BY38" s="1">
        <v>94</v>
      </c>
      <c r="BZ38" s="1">
        <v>97</v>
      </c>
      <c r="CA38" s="1">
        <v>73</v>
      </c>
      <c r="CB38" s="1">
        <v>87</v>
      </c>
      <c r="CC38" s="1">
        <v>27</v>
      </c>
      <c r="CD38" s="1">
        <v>1</v>
      </c>
      <c r="CE38" s="11">
        <v>1</v>
      </c>
    </row>
    <row r="39" spans="1:83" ht="17" customHeight="1" x14ac:dyDescent="0.2">
      <c r="A39" s="66"/>
      <c r="C39" s="68"/>
      <c r="D39" s="10">
        <v>1</v>
      </c>
      <c r="E39" s="1">
        <v>1</v>
      </c>
      <c r="F39" s="1">
        <v>87</v>
      </c>
      <c r="G39" s="1">
        <v>87</v>
      </c>
      <c r="H39" s="1">
        <v>65</v>
      </c>
      <c r="I39" s="1">
        <v>64</v>
      </c>
      <c r="J39" s="1">
        <v>56</v>
      </c>
      <c r="K39" s="1">
        <v>63</v>
      </c>
      <c r="L39" s="1">
        <v>54</v>
      </c>
      <c r="M39" s="1">
        <v>42</v>
      </c>
      <c r="N39" s="1">
        <v>77</v>
      </c>
      <c r="O39" s="1">
        <v>77</v>
      </c>
      <c r="P39" s="1">
        <v>61</v>
      </c>
      <c r="Q39" s="1">
        <v>48</v>
      </c>
      <c r="R39" s="1">
        <v>63</v>
      </c>
      <c r="S39" s="1">
        <v>82</v>
      </c>
      <c r="T39" s="1">
        <v>102</v>
      </c>
      <c r="U39" s="1">
        <v>6</v>
      </c>
      <c r="V39" s="1">
        <v>3</v>
      </c>
      <c r="W39" s="1">
        <v>1</v>
      </c>
      <c r="X39" s="10">
        <v>1</v>
      </c>
      <c r="Y39" s="1">
        <v>5</v>
      </c>
      <c r="Z39" s="1">
        <v>4</v>
      </c>
      <c r="AA39" s="1">
        <v>7</v>
      </c>
      <c r="AB39" s="1">
        <v>115</v>
      </c>
      <c r="AC39" s="1">
        <v>101</v>
      </c>
      <c r="AD39" s="1">
        <v>66</v>
      </c>
      <c r="AE39" s="1">
        <v>113</v>
      </c>
      <c r="AF39" s="1">
        <v>163</v>
      </c>
      <c r="AG39" s="1">
        <v>165</v>
      </c>
      <c r="AH39" s="1">
        <v>147</v>
      </c>
      <c r="AI39" s="1">
        <v>85</v>
      </c>
      <c r="AJ39" s="1">
        <v>93</v>
      </c>
      <c r="AK39" s="1">
        <v>79</v>
      </c>
      <c r="AL39" s="1">
        <v>87</v>
      </c>
      <c r="AM39" s="1">
        <v>158</v>
      </c>
      <c r="AN39" s="1">
        <v>31</v>
      </c>
      <c r="AO39" s="1">
        <v>2</v>
      </c>
      <c r="AP39" s="1">
        <v>4</v>
      </c>
      <c r="AQ39" s="11">
        <v>1</v>
      </c>
      <c r="AR39" s="1">
        <v>1</v>
      </c>
      <c r="AS39" s="1">
        <v>4</v>
      </c>
      <c r="AT39" s="1">
        <v>5</v>
      </c>
      <c r="AU39" s="1">
        <v>3</v>
      </c>
      <c r="AV39" s="1">
        <v>18</v>
      </c>
      <c r="AW39" s="1">
        <v>122</v>
      </c>
      <c r="AX39" s="1">
        <v>95</v>
      </c>
      <c r="AY39" s="1">
        <v>111</v>
      </c>
      <c r="AZ39" s="1">
        <v>152</v>
      </c>
      <c r="BA39" s="1">
        <v>156</v>
      </c>
      <c r="BB39" s="1">
        <v>130</v>
      </c>
      <c r="BC39" s="1">
        <v>77</v>
      </c>
      <c r="BD39" s="1">
        <v>78</v>
      </c>
      <c r="BE39" s="1">
        <v>82</v>
      </c>
      <c r="BF39" s="1">
        <v>171</v>
      </c>
      <c r="BG39" s="1">
        <v>63</v>
      </c>
      <c r="BH39" s="1">
        <v>1</v>
      </c>
      <c r="BI39" s="1">
        <v>4</v>
      </c>
      <c r="BJ39" s="1">
        <v>4</v>
      </c>
      <c r="BK39" s="1">
        <v>2</v>
      </c>
      <c r="BL39" s="10">
        <v>1</v>
      </c>
      <c r="BM39" s="1">
        <v>0</v>
      </c>
      <c r="BN39" s="1">
        <v>37</v>
      </c>
      <c r="BO39" s="1">
        <v>97</v>
      </c>
      <c r="BP39" s="1">
        <v>72</v>
      </c>
      <c r="BQ39" s="1">
        <v>81</v>
      </c>
      <c r="BR39" s="1">
        <v>89</v>
      </c>
      <c r="BS39" s="1">
        <v>91</v>
      </c>
      <c r="BT39" s="1">
        <v>85</v>
      </c>
      <c r="BU39" s="1">
        <v>76</v>
      </c>
      <c r="BV39" s="1">
        <v>86</v>
      </c>
      <c r="BW39" s="1">
        <v>114</v>
      </c>
      <c r="BX39" s="1">
        <v>92</v>
      </c>
      <c r="BY39" s="1">
        <v>92</v>
      </c>
      <c r="BZ39" s="1">
        <v>94</v>
      </c>
      <c r="CA39" s="1">
        <v>91</v>
      </c>
      <c r="CB39" s="1">
        <v>85</v>
      </c>
      <c r="CC39" s="1">
        <v>61</v>
      </c>
      <c r="CD39" s="1">
        <v>0</v>
      </c>
      <c r="CE39" s="11">
        <v>1</v>
      </c>
    </row>
    <row r="40" spans="1:83" ht="17" customHeight="1" x14ac:dyDescent="0.2">
      <c r="A40" s="66"/>
      <c r="C40" s="68"/>
      <c r="D40" s="10">
        <v>2</v>
      </c>
      <c r="E40" s="1">
        <v>3</v>
      </c>
      <c r="F40" s="1">
        <v>90</v>
      </c>
      <c r="G40" s="1">
        <v>78</v>
      </c>
      <c r="H40" s="1">
        <v>45</v>
      </c>
      <c r="I40" s="1">
        <v>50</v>
      </c>
      <c r="J40" s="1">
        <v>56</v>
      </c>
      <c r="K40" s="1">
        <v>86</v>
      </c>
      <c r="L40" s="1">
        <v>90</v>
      </c>
      <c r="M40" s="1">
        <v>71</v>
      </c>
      <c r="N40" s="1">
        <v>87</v>
      </c>
      <c r="O40" s="1">
        <v>83</v>
      </c>
      <c r="P40" s="1">
        <v>79</v>
      </c>
      <c r="Q40" s="1">
        <v>51</v>
      </c>
      <c r="R40" s="1">
        <v>40</v>
      </c>
      <c r="S40" s="1">
        <v>54</v>
      </c>
      <c r="T40" s="1">
        <v>104</v>
      </c>
      <c r="U40" s="1">
        <v>15</v>
      </c>
      <c r="V40" s="1">
        <v>3</v>
      </c>
      <c r="W40" s="1">
        <v>1</v>
      </c>
      <c r="X40" s="10">
        <v>1</v>
      </c>
      <c r="Y40" s="1">
        <v>5</v>
      </c>
      <c r="Z40" s="1">
        <v>2</v>
      </c>
      <c r="AA40" s="1">
        <v>31</v>
      </c>
      <c r="AB40" s="1">
        <v>141</v>
      </c>
      <c r="AC40" s="1">
        <v>79</v>
      </c>
      <c r="AD40" s="1">
        <v>73</v>
      </c>
      <c r="AE40" s="1">
        <v>140</v>
      </c>
      <c r="AF40" s="1">
        <v>161</v>
      </c>
      <c r="AG40" s="1">
        <v>161</v>
      </c>
      <c r="AH40" s="1">
        <v>141</v>
      </c>
      <c r="AI40" s="1">
        <v>87</v>
      </c>
      <c r="AJ40" s="1">
        <v>97</v>
      </c>
      <c r="AK40" s="1">
        <v>90</v>
      </c>
      <c r="AL40" s="1">
        <v>76</v>
      </c>
      <c r="AM40" s="1">
        <v>138</v>
      </c>
      <c r="AN40" s="1">
        <v>88</v>
      </c>
      <c r="AO40" s="1">
        <v>0</v>
      </c>
      <c r="AP40" s="1">
        <v>5</v>
      </c>
      <c r="AQ40" s="11">
        <v>2</v>
      </c>
      <c r="AR40" s="1">
        <v>1</v>
      </c>
      <c r="AS40" s="1">
        <v>4</v>
      </c>
      <c r="AT40" s="1">
        <v>5</v>
      </c>
      <c r="AU40" s="1">
        <v>2</v>
      </c>
      <c r="AV40" s="1">
        <v>55</v>
      </c>
      <c r="AW40" s="1">
        <v>138</v>
      </c>
      <c r="AX40" s="1">
        <v>81</v>
      </c>
      <c r="AY40" s="1">
        <v>156</v>
      </c>
      <c r="AZ40" s="1">
        <v>152</v>
      </c>
      <c r="BA40" s="1">
        <v>157</v>
      </c>
      <c r="BB40" s="1">
        <v>142</v>
      </c>
      <c r="BC40" s="1">
        <v>85</v>
      </c>
      <c r="BD40" s="1">
        <v>89</v>
      </c>
      <c r="BE40" s="1">
        <v>69</v>
      </c>
      <c r="BF40" s="1">
        <v>136</v>
      </c>
      <c r="BG40" s="1">
        <v>133</v>
      </c>
      <c r="BH40" s="1">
        <v>10</v>
      </c>
      <c r="BI40" s="1">
        <v>3</v>
      </c>
      <c r="BJ40" s="1">
        <v>4</v>
      </c>
      <c r="BK40" s="1">
        <v>2</v>
      </c>
      <c r="BL40" s="10">
        <v>1</v>
      </c>
      <c r="BM40" s="1">
        <v>0</v>
      </c>
      <c r="BN40" s="1">
        <v>57</v>
      </c>
      <c r="BO40" s="1">
        <v>85</v>
      </c>
      <c r="BP40" s="1">
        <v>76</v>
      </c>
      <c r="BQ40" s="1">
        <v>93</v>
      </c>
      <c r="BR40" s="1">
        <v>94</v>
      </c>
      <c r="BS40" s="1">
        <v>84</v>
      </c>
      <c r="BT40" s="1">
        <v>62</v>
      </c>
      <c r="BU40" s="1">
        <v>82</v>
      </c>
      <c r="BV40" s="1">
        <v>80</v>
      </c>
      <c r="BW40" s="1">
        <v>115</v>
      </c>
      <c r="BX40" s="1">
        <v>109</v>
      </c>
      <c r="BY40" s="1">
        <v>101</v>
      </c>
      <c r="BZ40" s="1">
        <v>100</v>
      </c>
      <c r="CA40" s="1">
        <v>85</v>
      </c>
      <c r="CB40" s="1">
        <v>68</v>
      </c>
      <c r="CC40" s="1">
        <v>79</v>
      </c>
      <c r="CD40" s="1">
        <v>2</v>
      </c>
      <c r="CE40" s="11">
        <v>1</v>
      </c>
    </row>
    <row r="41" spans="1:83" ht="17" customHeight="1" x14ac:dyDescent="0.2">
      <c r="A41" s="66"/>
      <c r="C41" s="68"/>
      <c r="D41" s="10">
        <v>1</v>
      </c>
      <c r="E41" s="1">
        <v>2</v>
      </c>
      <c r="F41" s="1">
        <v>89</v>
      </c>
      <c r="G41" s="1">
        <v>87</v>
      </c>
      <c r="H41" s="1">
        <v>28</v>
      </c>
      <c r="I41" s="1">
        <v>17</v>
      </c>
      <c r="J41" s="1">
        <v>34</v>
      </c>
      <c r="K41" s="1">
        <v>83</v>
      </c>
      <c r="L41" s="1">
        <v>55</v>
      </c>
      <c r="M41" s="1">
        <v>59</v>
      </c>
      <c r="N41" s="1">
        <v>65</v>
      </c>
      <c r="O41" s="1">
        <v>50</v>
      </c>
      <c r="P41" s="1">
        <v>37</v>
      </c>
      <c r="Q41" s="1">
        <v>22</v>
      </c>
      <c r="R41" s="1">
        <v>9</v>
      </c>
      <c r="S41" s="1">
        <v>35</v>
      </c>
      <c r="T41" s="1">
        <v>89</v>
      </c>
      <c r="U41" s="1">
        <v>26</v>
      </c>
      <c r="V41" s="1">
        <v>1</v>
      </c>
      <c r="W41" s="1">
        <v>1</v>
      </c>
      <c r="X41" s="10">
        <v>1</v>
      </c>
      <c r="Y41" s="1">
        <v>5</v>
      </c>
      <c r="Z41" s="1">
        <v>0</v>
      </c>
      <c r="AA41" s="1">
        <v>56</v>
      </c>
      <c r="AB41" s="1">
        <v>144</v>
      </c>
      <c r="AC41" s="1">
        <v>81</v>
      </c>
      <c r="AD41" s="1">
        <v>80</v>
      </c>
      <c r="AE41" s="1">
        <v>111</v>
      </c>
      <c r="AF41" s="1">
        <v>189</v>
      </c>
      <c r="AG41" s="1">
        <v>181</v>
      </c>
      <c r="AH41" s="1">
        <v>127</v>
      </c>
      <c r="AI41" s="1">
        <v>92</v>
      </c>
      <c r="AJ41" s="1">
        <v>99</v>
      </c>
      <c r="AK41" s="1">
        <v>95</v>
      </c>
      <c r="AL41" s="1">
        <v>85</v>
      </c>
      <c r="AM41" s="1">
        <v>116</v>
      </c>
      <c r="AN41" s="1">
        <v>121</v>
      </c>
      <c r="AO41" s="1">
        <v>3</v>
      </c>
      <c r="AP41" s="1">
        <v>5</v>
      </c>
      <c r="AQ41" s="11">
        <v>2</v>
      </c>
      <c r="AR41" s="1">
        <v>1</v>
      </c>
      <c r="AS41" s="1">
        <v>4</v>
      </c>
      <c r="AT41" s="1">
        <v>5</v>
      </c>
      <c r="AU41" s="1">
        <v>3</v>
      </c>
      <c r="AV41" s="1">
        <v>92</v>
      </c>
      <c r="AW41" s="1">
        <v>130</v>
      </c>
      <c r="AX41" s="1">
        <v>75</v>
      </c>
      <c r="AY41" s="1">
        <v>149</v>
      </c>
      <c r="AZ41" s="1">
        <v>176</v>
      </c>
      <c r="BA41" s="1">
        <v>173</v>
      </c>
      <c r="BB41" s="1">
        <v>132</v>
      </c>
      <c r="BC41" s="1">
        <v>90</v>
      </c>
      <c r="BD41" s="1">
        <v>97</v>
      </c>
      <c r="BE41" s="1">
        <v>80</v>
      </c>
      <c r="BF41" s="1">
        <v>105</v>
      </c>
      <c r="BG41" s="1">
        <v>161</v>
      </c>
      <c r="BH41" s="1">
        <v>30</v>
      </c>
      <c r="BI41" s="1">
        <v>1</v>
      </c>
      <c r="BJ41" s="1">
        <v>4</v>
      </c>
      <c r="BK41" s="1">
        <v>2</v>
      </c>
      <c r="BL41" s="10">
        <v>1</v>
      </c>
      <c r="BM41" s="1">
        <v>0</v>
      </c>
      <c r="BN41" s="1">
        <v>58</v>
      </c>
      <c r="BO41" s="1">
        <v>87</v>
      </c>
      <c r="BP41" s="1">
        <v>70</v>
      </c>
      <c r="BQ41" s="1">
        <v>86</v>
      </c>
      <c r="BR41" s="1">
        <v>97</v>
      </c>
      <c r="BS41" s="1">
        <v>68</v>
      </c>
      <c r="BT41" s="1">
        <v>44</v>
      </c>
      <c r="BU41" s="1">
        <v>85</v>
      </c>
      <c r="BV41" s="1">
        <v>76</v>
      </c>
      <c r="BW41" s="1">
        <v>80</v>
      </c>
      <c r="BX41" s="1">
        <v>85</v>
      </c>
      <c r="BY41" s="1">
        <v>91</v>
      </c>
      <c r="BZ41" s="1">
        <v>81</v>
      </c>
      <c r="CA41" s="1">
        <v>67</v>
      </c>
      <c r="CB41" s="1">
        <v>64</v>
      </c>
      <c r="CC41" s="1">
        <v>85</v>
      </c>
      <c r="CD41" s="1">
        <v>4</v>
      </c>
      <c r="CE41" s="11">
        <v>1</v>
      </c>
    </row>
    <row r="42" spans="1:83" ht="17" customHeight="1" x14ac:dyDescent="0.2">
      <c r="A42" s="66"/>
      <c r="C42" s="68"/>
      <c r="D42" s="10">
        <v>1</v>
      </c>
      <c r="E42" s="1">
        <v>2</v>
      </c>
      <c r="F42" s="1">
        <v>67</v>
      </c>
      <c r="G42" s="1">
        <v>83</v>
      </c>
      <c r="H42" s="1">
        <v>22</v>
      </c>
      <c r="I42" s="1">
        <v>16</v>
      </c>
      <c r="J42" s="1">
        <v>62</v>
      </c>
      <c r="K42" s="1">
        <v>106</v>
      </c>
      <c r="L42" s="1">
        <v>106</v>
      </c>
      <c r="M42" s="1">
        <v>74</v>
      </c>
      <c r="N42" s="1">
        <v>66</v>
      </c>
      <c r="O42" s="1">
        <v>74</v>
      </c>
      <c r="P42" s="1">
        <v>67</v>
      </c>
      <c r="Q42" s="1">
        <v>38</v>
      </c>
      <c r="R42" s="1">
        <v>11</v>
      </c>
      <c r="S42" s="1">
        <v>14</v>
      </c>
      <c r="T42" s="1">
        <v>53</v>
      </c>
      <c r="U42" s="1">
        <v>24</v>
      </c>
      <c r="V42" s="1">
        <v>1</v>
      </c>
      <c r="W42" s="1">
        <v>1</v>
      </c>
      <c r="X42" s="10">
        <v>1</v>
      </c>
      <c r="Y42" s="1">
        <v>5</v>
      </c>
      <c r="Z42" s="1">
        <v>1</v>
      </c>
      <c r="AA42" s="1">
        <v>52</v>
      </c>
      <c r="AB42" s="1">
        <v>146</v>
      </c>
      <c r="AC42" s="1">
        <v>83</v>
      </c>
      <c r="AD42" s="1">
        <v>83</v>
      </c>
      <c r="AE42" s="1">
        <v>87</v>
      </c>
      <c r="AF42" s="1">
        <v>133</v>
      </c>
      <c r="AG42" s="1">
        <v>108</v>
      </c>
      <c r="AH42" s="1">
        <v>92</v>
      </c>
      <c r="AI42" s="1">
        <v>100</v>
      </c>
      <c r="AJ42" s="1">
        <v>97</v>
      </c>
      <c r="AK42" s="1">
        <v>96</v>
      </c>
      <c r="AL42" s="1">
        <v>87</v>
      </c>
      <c r="AM42" s="1">
        <v>116</v>
      </c>
      <c r="AN42" s="1">
        <v>131</v>
      </c>
      <c r="AO42" s="1">
        <v>4</v>
      </c>
      <c r="AP42" s="1">
        <v>4</v>
      </c>
      <c r="AQ42" s="11">
        <v>2</v>
      </c>
      <c r="AR42" s="1">
        <v>1</v>
      </c>
      <c r="AS42" s="1">
        <v>4</v>
      </c>
      <c r="AT42" s="1">
        <v>4</v>
      </c>
      <c r="AU42" s="1">
        <v>3</v>
      </c>
      <c r="AV42" s="1">
        <v>97</v>
      </c>
      <c r="AW42" s="1">
        <v>139</v>
      </c>
      <c r="AX42" s="1">
        <v>77</v>
      </c>
      <c r="AY42" s="1">
        <v>85</v>
      </c>
      <c r="AZ42" s="1">
        <v>125</v>
      </c>
      <c r="BA42" s="1">
        <v>107</v>
      </c>
      <c r="BB42" s="1">
        <v>86</v>
      </c>
      <c r="BC42" s="1">
        <v>94</v>
      </c>
      <c r="BD42" s="1">
        <v>93</v>
      </c>
      <c r="BE42" s="1">
        <v>92</v>
      </c>
      <c r="BF42" s="1">
        <v>108</v>
      </c>
      <c r="BG42" s="1">
        <v>162</v>
      </c>
      <c r="BH42" s="1">
        <v>36</v>
      </c>
      <c r="BI42" s="1">
        <v>1</v>
      </c>
      <c r="BJ42" s="1">
        <v>4</v>
      </c>
      <c r="BK42" s="1">
        <v>2</v>
      </c>
      <c r="BL42" s="10">
        <v>1</v>
      </c>
      <c r="BM42" s="1">
        <v>0</v>
      </c>
      <c r="BN42" s="1">
        <v>48</v>
      </c>
      <c r="BO42" s="1">
        <v>102</v>
      </c>
      <c r="BP42" s="1">
        <v>74</v>
      </c>
      <c r="BQ42" s="1">
        <v>87</v>
      </c>
      <c r="BR42" s="1">
        <v>96</v>
      </c>
      <c r="BS42" s="1">
        <v>49</v>
      </c>
      <c r="BT42" s="1">
        <v>52</v>
      </c>
      <c r="BU42" s="1">
        <v>89</v>
      </c>
      <c r="BV42" s="1">
        <v>79</v>
      </c>
      <c r="BW42" s="1">
        <v>84</v>
      </c>
      <c r="BX42" s="1">
        <v>80</v>
      </c>
      <c r="BY42" s="1">
        <v>78</v>
      </c>
      <c r="BZ42" s="1">
        <v>77</v>
      </c>
      <c r="CA42" s="1">
        <v>71</v>
      </c>
      <c r="CB42" s="1">
        <v>69</v>
      </c>
      <c r="CC42" s="1">
        <v>83</v>
      </c>
      <c r="CD42" s="1">
        <v>1</v>
      </c>
      <c r="CE42" s="11">
        <v>1</v>
      </c>
    </row>
    <row r="43" spans="1:83" ht="17" customHeight="1" x14ac:dyDescent="0.2">
      <c r="A43" s="66"/>
      <c r="C43" s="68"/>
      <c r="D43" s="10">
        <v>2</v>
      </c>
      <c r="E43" s="1">
        <v>9</v>
      </c>
      <c r="F43" s="1">
        <v>32</v>
      </c>
      <c r="G43" s="1">
        <v>57</v>
      </c>
      <c r="H43" s="1">
        <v>34</v>
      </c>
      <c r="I43" s="1">
        <v>57</v>
      </c>
      <c r="J43" s="1">
        <v>110</v>
      </c>
      <c r="K43" s="1">
        <v>92</v>
      </c>
      <c r="L43" s="1">
        <v>114</v>
      </c>
      <c r="M43" s="1">
        <v>77</v>
      </c>
      <c r="N43" s="1">
        <v>65</v>
      </c>
      <c r="O43" s="1">
        <v>77</v>
      </c>
      <c r="P43" s="1">
        <v>74</v>
      </c>
      <c r="Q43" s="1">
        <v>76</v>
      </c>
      <c r="R43" s="1">
        <v>80</v>
      </c>
      <c r="S43" s="1">
        <v>58</v>
      </c>
      <c r="T43" s="1">
        <v>74</v>
      </c>
      <c r="U43" s="1">
        <v>51</v>
      </c>
      <c r="V43" s="1">
        <v>4</v>
      </c>
      <c r="W43" s="1">
        <v>2</v>
      </c>
      <c r="X43" s="10">
        <v>1</v>
      </c>
      <c r="Y43" s="1">
        <v>5</v>
      </c>
      <c r="Z43" s="1">
        <v>3</v>
      </c>
      <c r="AA43" s="1">
        <v>20</v>
      </c>
      <c r="AB43" s="1">
        <v>145</v>
      </c>
      <c r="AC43" s="1">
        <v>108</v>
      </c>
      <c r="AD43" s="1">
        <v>85</v>
      </c>
      <c r="AE43" s="1">
        <v>86</v>
      </c>
      <c r="AF43" s="1">
        <v>88</v>
      </c>
      <c r="AG43" s="1">
        <v>88</v>
      </c>
      <c r="AH43" s="1">
        <v>94</v>
      </c>
      <c r="AI43" s="1">
        <v>98</v>
      </c>
      <c r="AJ43" s="1">
        <v>98</v>
      </c>
      <c r="AK43" s="1">
        <v>88</v>
      </c>
      <c r="AL43" s="1">
        <v>76</v>
      </c>
      <c r="AM43" s="1">
        <v>140</v>
      </c>
      <c r="AN43" s="1">
        <v>103</v>
      </c>
      <c r="AO43" s="1">
        <v>1</v>
      </c>
      <c r="AP43" s="1">
        <v>4</v>
      </c>
      <c r="AQ43" s="11">
        <v>1</v>
      </c>
      <c r="AR43" s="1">
        <v>1</v>
      </c>
      <c r="AS43" s="1">
        <v>4</v>
      </c>
      <c r="AT43" s="1">
        <v>4</v>
      </c>
      <c r="AU43" s="1">
        <v>1</v>
      </c>
      <c r="AV43" s="1">
        <v>61</v>
      </c>
      <c r="AW43" s="1">
        <v>159</v>
      </c>
      <c r="AX43" s="1">
        <v>92</v>
      </c>
      <c r="AY43" s="1">
        <v>79</v>
      </c>
      <c r="AZ43" s="1">
        <v>84</v>
      </c>
      <c r="BA43" s="1">
        <v>92</v>
      </c>
      <c r="BB43" s="1">
        <v>107</v>
      </c>
      <c r="BC43" s="1">
        <v>95</v>
      </c>
      <c r="BD43" s="1">
        <v>86</v>
      </c>
      <c r="BE43" s="1">
        <v>78</v>
      </c>
      <c r="BF43" s="1">
        <v>131</v>
      </c>
      <c r="BG43" s="1">
        <v>153</v>
      </c>
      <c r="BH43" s="1">
        <v>21</v>
      </c>
      <c r="BI43" s="1">
        <v>2</v>
      </c>
      <c r="BJ43" s="1">
        <v>4</v>
      </c>
      <c r="BK43" s="1">
        <v>2</v>
      </c>
      <c r="BL43" s="10">
        <v>1</v>
      </c>
      <c r="BM43" s="1">
        <v>0</v>
      </c>
      <c r="BN43" s="1">
        <v>26</v>
      </c>
      <c r="BO43" s="1">
        <v>114</v>
      </c>
      <c r="BP43" s="1">
        <v>71</v>
      </c>
      <c r="BQ43" s="1">
        <v>80</v>
      </c>
      <c r="BR43" s="1">
        <v>91</v>
      </c>
      <c r="BS43" s="1">
        <v>78</v>
      </c>
      <c r="BT43" s="1">
        <v>87</v>
      </c>
      <c r="BU43" s="1">
        <v>87</v>
      </c>
      <c r="BV43" s="1">
        <v>79</v>
      </c>
      <c r="BW43" s="1">
        <v>87</v>
      </c>
      <c r="BX43" s="1">
        <v>88</v>
      </c>
      <c r="BY43" s="1">
        <v>86</v>
      </c>
      <c r="BZ43" s="1">
        <v>84</v>
      </c>
      <c r="CA43" s="1">
        <v>73</v>
      </c>
      <c r="CB43" s="1">
        <v>92</v>
      </c>
      <c r="CC43" s="1">
        <v>75</v>
      </c>
      <c r="CD43" s="1">
        <v>0</v>
      </c>
      <c r="CE43" s="11">
        <v>1</v>
      </c>
    </row>
    <row r="44" spans="1:83" ht="17" customHeight="1" x14ac:dyDescent="0.2">
      <c r="A44" s="66"/>
      <c r="C44" s="68"/>
      <c r="D44" s="10">
        <v>1</v>
      </c>
      <c r="E44" s="1">
        <v>20</v>
      </c>
      <c r="F44" s="1">
        <v>68</v>
      </c>
      <c r="G44" s="1">
        <v>98</v>
      </c>
      <c r="H44" s="1">
        <v>51</v>
      </c>
      <c r="I44" s="1">
        <v>52</v>
      </c>
      <c r="J44" s="1">
        <v>75</v>
      </c>
      <c r="K44" s="1">
        <v>86</v>
      </c>
      <c r="L44" s="1">
        <v>115</v>
      </c>
      <c r="M44" s="1">
        <v>80</v>
      </c>
      <c r="N44" s="1">
        <v>56</v>
      </c>
      <c r="O44" s="1">
        <v>74</v>
      </c>
      <c r="P44" s="1">
        <v>70</v>
      </c>
      <c r="Q44" s="1">
        <v>65</v>
      </c>
      <c r="R44" s="1">
        <v>62</v>
      </c>
      <c r="S44" s="1">
        <v>84</v>
      </c>
      <c r="T44" s="1">
        <v>62</v>
      </c>
      <c r="U44" s="1">
        <v>25</v>
      </c>
      <c r="V44" s="1">
        <v>2</v>
      </c>
      <c r="W44" s="1">
        <v>1</v>
      </c>
      <c r="X44" s="10">
        <v>1</v>
      </c>
      <c r="Y44" s="1">
        <v>4</v>
      </c>
      <c r="Z44" s="1">
        <v>5</v>
      </c>
      <c r="AA44" s="1">
        <v>1</v>
      </c>
      <c r="AB44" s="1">
        <v>88</v>
      </c>
      <c r="AC44" s="1">
        <v>154</v>
      </c>
      <c r="AD44" s="1">
        <v>77</v>
      </c>
      <c r="AE44" s="1">
        <v>87</v>
      </c>
      <c r="AF44" s="1">
        <v>93</v>
      </c>
      <c r="AG44" s="1">
        <v>96</v>
      </c>
      <c r="AH44" s="1">
        <v>100</v>
      </c>
      <c r="AI44" s="1">
        <v>93</v>
      </c>
      <c r="AJ44" s="1">
        <v>95</v>
      </c>
      <c r="AK44" s="1">
        <v>77</v>
      </c>
      <c r="AL44" s="1">
        <v>85</v>
      </c>
      <c r="AM44" s="1">
        <v>173</v>
      </c>
      <c r="AN44" s="1">
        <v>52</v>
      </c>
      <c r="AO44" s="1">
        <v>0</v>
      </c>
      <c r="AP44" s="1">
        <v>4</v>
      </c>
      <c r="AQ44" s="11">
        <v>1</v>
      </c>
      <c r="AR44" s="1">
        <v>1</v>
      </c>
      <c r="AS44" s="1">
        <v>4</v>
      </c>
      <c r="AT44" s="1">
        <v>5</v>
      </c>
      <c r="AU44" s="1">
        <v>4</v>
      </c>
      <c r="AV44" s="1">
        <v>15</v>
      </c>
      <c r="AW44" s="1">
        <v>133</v>
      </c>
      <c r="AX44" s="1">
        <v>147</v>
      </c>
      <c r="AY44" s="1">
        <v>85</v>
      </c>
      <c r="AZ44" s="1">
        <v>90</v>
      </c>
      <c r="BA44" s="1">
        <v>93</v>
      </c>
      <c r="BB44" s="1">
        <v>99</v>
      </c>
      <c r="BC44" s="1">
        <v>91</v>
      </c>
      <c r="BD44" s="1">
        <v>77</v>
      </c>
      <c r="BE44" s="1">
        <v>88</v>
      </c>
      <c r="BF44" s="1">
        <v>173</v>
      </c>
      <c r="BG44" s="1">
        <v>108</v>
      </c>
      <c r="BH44" s="1">
        <v>5</v>
      </c>
      <c r="BI44" s="1">
        <v>4</v>
      </c>
      <c r="BJ44" s="1">
        <v>4</v>
      </c>
      <c r="BK44" s="1">
        <v>2</v>
      </c>
      <c r="BL44" s="10">
        <v>1</v>
      </c>
      <c r="BM44" s="1">
        <v>2</v>
      </c>
      <c r="BN44" s="1">
        <v>4</v>
      </c>
      <c r="BO44" s="1">
        <v>112</v>
      </c>
      <c r="BP44" s="1">
        <v>78</v>
      </c>
      <c r="BQ44" s="1">
        <v>75</v>
      </c>
      <c r="BR44" s="1">
        <v>85</v>
      </c>
      <c r="BS44" s="1">
        <v>92</v>
      </c>
      <c r="BT44" s="1">
        <v>87</v>
      </c>
      <c r="BU44" s="1">
        <v>82</v>
      </c>
      <c r="BV44" s="1">
        <v>80</v>
      </c>
      <c r="BW44" s="1">
        <v>85</v>
      </c>
      <c r="BX44" s="1">
        <v>88</v>
      </c>
      <c r="BY44" s="1">
        <v>84</v>
      </c>
      <c r="BZ44" s="1">
        <v>79</v>
      </c>
      <c r="CA44" s="1">
        <v>70</v>
      </c>
      <c r="CB44" s="1">
        <v>119</v>
      </c>
      <c r="CC44" s="1">
        <v>33</v>
      </c>
      <c r="CD44" s="1">
        <v>0</v>
      </c>
      <c r="CE44" s="11">
        <v>1</v>
      </c>
    </row>
    <row r="45" spans="1:83" ht="17" customHeight="1" x14ac:dyDescent="0.2">
      <c r="A45" s="66"/>
      <c r="C45" s="68"/>
      <c r="D45" s="10">
        <v>1</v>
      </c>
      <c r="E45" s="1">
        <v>5</v>
      </c>
      <c r="F45" s="1">
        <v>20</v>
      </c>
      <c r="G45" s="1">
        <v>109</v>
      </c>
      <c r="H45" s="1">
        <v>80</v>
      </c>
      <c r="I45" s="1">
        <v>40</v>
      </c>
      <c r="J45" s="1">
        <v>57</v>
      </c>
      <c r="K45" s="1">
        <v>76</v>
      </c>
      <c r="L45" s="1">
        <v>82</v>
      </c>
      <c r="M45" s="1">
        <v>67</v>
      </c>
      <c r="N45" s="1">
        <v>66</v>
      </c>
      <c r="O45" s="1">
        <v>72</v>
      </c>
      <c r="P45" s="1">
        <v>68</v>
      </c>
      <c r="Q45" s="1">
        <v>60</v>
      </c>
      <c r="R45" s="1">
        <v>50</v>
      </c>
      <c r="S45" s="1">
        <v>123</v>
      </c>
      <c r="T45" s="1">
        <v>24</v>
      </c>
      <c r="U45" s="1">
        <v>0</v>
      </c>
      <c r="V45" s="1">
        <v>3</v>
      </c>
      <c r="W45" s="1">
        <v>1</v>
      </c>
      <c r="X45" s="10">
        <v>1</v>
      </c>
      <c r="Y45" s="1">
        <v>4</v>
      </c>
      <c r="Z45" s="1">
        <v>4</v>
      </c>
      <c r="AA45" s="1">
        <v>3</v>
      </c>
      <c r="AB45" s="1">
        <v>15</v>
      </c>
      <c r="AC45" s="1">
        <v>139</v>
      </c>
      <c r="AD45" s="1">
        <v>125</v>
      </c>
      <c r="AE45" s="1">
        <v>73</v>
      </c>
      <c r="AF45" s="1">
        <v>87</v>
      </c>
      <c r="AG45" s="1">
        <v>94</v>
      </c>
      <c r="AH45" s="1">
        <v>93</v>
      </c>
      <c r="AI45" s="1">
        <v>87</v>
      </c>
      <c r="AJ45" s="1">
        <v>81</v>
      </c>
      <c r="AK45" s="1">
        <v>72</v>
      </c>
      <c r="AL45" s="1">
        <v>159</v>
      </c>
      <c r="AM45" s="1">
        <v>136</v>
      </c>
      <c r="AN45" s="1">
        <v>8</v>
      </c>
      <c r="AO45" s="1">
        <v>3</v>
      </c>
      <c r="AP45" s="1">
        <v>5</v>
      </c>
      <c r="AQ45" s="11">
        <v>1</v>
      </c>
      <c r="AR45" s="1">
        <v>1</v>
      </c>
      <c r="AS45" s="1">
        <v>4</v>
      </c>
      <c r="AT45" s="1">
        <v>5</v>
      </c>
      <c r="AU45" s="1">
        <v>6</v>
      </c>
      <c r="AV45" s="1">
        <v>1</v>
      </c>
      <c r="AW45" s="1">
        <v>52</v>
      </c>
      <c r="AX45" s="1">
        <v>168</v>
      </c>
      <c r="AY45" s="1">
        <v>141</v>
      </c>
      <c r="AZ45" s="1">
        <v>95</v>
      </c>
      <c r="BA45" s="1">
        <v>84</v>
      </c>
      <c r="BB45" s="1">
        <v>53</v>
      </c>
      <c r="BC45" s="1">
        <v>74</v>
      </c>
      <c r="BD45" s="1">
        <v>87</v>
      </c>
      <c r="BE45" s="1">
        <v>170</v>
      </c>
      <c r="BF45" s="1">
        <v>162</v>
      </c>
      <c r="BG45" s="1">
        <v>38</v>
      </c>
      <c r="BH45" s="1">
        <v>2</v>
      </c>
      <c r="BI45" s="1">
        <v>5</v>
      </c>
      <c r="BJ45" s="1">
        <v>4</v>
      </c>
      <c r="BK45" s="1">
        <v>2</v>
      </c>
      <c r="BL45" s="10">
        <v>0</v>
      </c>
      <c r="BM45" s="1">
        <v>2</v>
      </c>
      <c r="BN45" s="1">
        <v>0</v>
      </c>
      <c r="BO45" s="1">
        <v>74</v>
      </c>
      <c r="BP45" s="1">
        <v>119</v>
      </c>
      <c r="BQ45" s="1">
        <v>72</v>
      </c>
      <c r="BR45" s="1">
        <v>82</v>
      </c>
      <c r="BS45" s="1">
        <v>87</v>
      </c>
      <c r="BT45" s="1">
        <v>83</v>
      </c>
      <c r="BU45" s="1">
        <v>81</v>
      </c>
      <c r="BV45" s="1">
        <v>81</v>
      </c>
      <c r="BW45" s="1">
        <v>85</v>
      </c>
      <c r="BX45" s="1">
        <v>81</v>
      </c>
      <c r="BY45" s="1">
        <v>83</v>
      </c>
      <c r="BZ45" s="1">
        <v>72</v>
      </c>
      <c r="CA45" s="1">
        <v>95</v>
      </c>
      <c r="CB45" s="1">
        <v>116</v>
      </c>
      <c r="CC45" s="1">
        <v>2</v>
      </c>
      <c r="CD45" s="1">
        <v>2</v>
      </c>
      <c r="CE45" s="11">
        <v>1</v>
      </c>
    </row>
    <row r="46" spans="1:83" ht="17" customHeight="1" x14ac:dyDescent="0.2">
      <c r="A46" s="66"/>
      <c r="C46" s="68"/>
      <c r="D46" s="10">
        <v>1</v>
      </c>
      <c r="E46" s="1">
        <v>3</v>
      </c>
      <c r="F46" s="1">
        <v>0</v>
      </c>
      <c r="G46" s="1">
        <v>32</v>
      </c>
      <c r="H46" s="1">
        <v>126</v>
      </c>
      <c r="I46" s="1">
        <v>56</v>
      </c>
      <c r="J46" s="1">
        <v>42</v>
      </c>
      <c r="K46" s="1">
        <v>49</v>
      </c>
      <c r="L46" s="1">
        <v>58</v>
      </c>
      <c r="M46" s="1">
        <v>60</v>
      </c>
      <c r="N46" s="1">
        <v>67</v>
      </c>
      <c r="O46" s="1">
        <v>67</v>
      </c>
      <c r="P46" s="1">
        <v>63</v>
      </c>
      <c r="Q46" s="1">
        <v>47</v>
      </c>
      <c r="R46" s="1">
        <v>115</v>
      </c>
      <c r="S46" s="1">
        <v>77</v>
      </c>
      <c r="T46" s="1">
        <v>0</v>
      </c>
      <c r="U46" s="1">
        <v>2</v>
      </c>
      <c r="V46" s="1">
        <v>2</v>
      </c>
      <c r="W46" s="1">
        <v>1</v>
      </c>
      <c r="X46" s="10">
        <v>1</v>
      </c>
      <c r="Y46" s="1">
        <v>4</v>
      </c>
      <c r="Z46" s="1">
        <v>5</v>
      </c>
      <c r="AA46" s="1">
        <v>5</v>
      </c>
      <c r="AB46" s="1">
        <v>2</v>
      </c>
      <c r="AC46" s="1">
        <v>42</v>
      </c>
      <c r="AD46" s="1">
        <v>154</v>
      </c>
      <c r="AE46" s="1">
        <v>137</v>
      </c>
      <c r="AF46" s="1">
        <v>92</v>
      </c>
      <c r="AG46" s="1">
        <v>94</v>
      </c>
      <c r="AH46" s="1">
        <v>95</v>
      </c>
      <c r="AI46" s="1">
        <v>88</v>
      </c>
      <c r="AJ46" s="1">
        <v>100</v>
      </c>
      <c r="AK46" s="1">
        <v>156</v>
      </c>
      <c r="AL46" s="1">
        <v>157</v>
      </c>
      <c r="AM46" s="1">
        <v>37</v>
      </c>
      <c r="AN46" s="1">
        <v>1</v>
      </c>
      <c r="AO46" s="1">
        <v>5</v>
      </c>
      <c r="AP46" s="1">
        <v>5</v>
      </c>
      <c r="AQ46" s="11">
        <v>1</v>
      </c>
      <c r="AR46" s="1">
        <v>1</v>
      </c>
      <c r="AS46" s="1">
        <v>4</v>
      </c>
      <c r="AT46" s="1">
        <v>4</v>
      </c>
      <c r="AU46" s="1">
        <v>4</v>
      </c>
      <c r="AV46" s="1">
        <v>4</v>
      </c>
      <c r="AW46" s="1">
        <v>3</v>
      </c>
      <c r="AX46" s="1">
        <v>68</v>
      </c>
      <c r="AY46" s="1">
        <v>159</v>
      </c>
      <c r="AZ46" s="1">
        <v>171</v>
      </c>
      <c r="BA46" s="1">
        <v>159</v>
      </c>
      <c r="BB46" s="1">
        <v>157</v>
      </c>
      <c r="BC46" s="1">
        <v>156</v>
      </c>
      <c r="BD46" s="1">
        <v>176</v>
      </c>
      <c r="BE46" s="1">
        <v>152</v>
      </c>
      <c r="BF46" s="1">
        <v>57</v>
      </c>
      <c r="BG46" s="1">
        <v>2</v>
      </c>
      <c r="BH46" s="1">
        <v>4</v>
      </c>
      <c r="BI46" s="1">
        <v>4</v>
      </c>
      <c r="BJ46" s="1">
        <v>4</v>
      </c>
      <c r="BK46" s="1">
        <v>1</v>
      </c>
      <c r="BL46" s="10">
        <v>0</v>
      </c>
      <c r="BM46" s="1">
        <v>2</v>
      </c>
      <c r="BN46" s="1">
        <v>1</v>
      </c>
      <c r="BO46" s="1">
        <v>14</v>
      </c>
      <c r="BP46" s="1">
        <v>136</v>
      </c>
      <c r="BQ46" s="1">
        <v>83</v>
      </c>
      <c r="BR46" s="1">
        <v>72</v>
      </c>
      <c r="BS46" s="1">
        <v>81</v>
      </c>
      <c r="BT46" s="1">
        <v>81</v>
      </c>
      <c r="BU46" s="1">
        <v>78</v>
      </c>
      <c r="BV46" s="1">
        <v>80</v>
      </c>
      <c r="BW46" s="1">
        <v>84</v>
      </c>
      <c r="BX46" s="1">
        <v>78</v>
      </c>
      <c r="BY46" s="1">
        <v>76</v>
      </c>
      <c r="BZ46" s="1">
        <v>75</v>
      </c>
      <c r="CA46" s="1">
        <v>139</v>
      </c>
      <c r="CB46" s="1">
        <v>41</v>
      </c>
      <c r="CC46" s="1">
        <v>0</v>
      </c>
      <c r="CD46" s="1">
        <v>3</v>
      </c>
      <c r="CE46" s="11">
        <v>1</v>
      </c>
    </row>
    <row r="47" spans="1:83" ht="17" customHeight="1" x14ac:dyDescent="0.2">
      <c r="A47" s="66"/>
      <c r="C47" s="68"/>
      <c r="D47" s="10">
        <v>1</v>
      </c>
      <c r="E47" s="1">
        <v>2</v>
      </c>
      <c r="F47" s="1">
        <v>3</v>
      </c>
      <c r="G47" s="1">
        <v>0</v>
      </c>
      <c r="H47" s="1">
        <v>48</v>
      </c>
      <c r="I47" s="1">
        <v>110</v>
      </c>
      <c r="J47" s="1">
        <v>50</v>
      </c>
      <c r="K47" s="1">
        <v>42</v>
      </c>
      <c r="L47" s="1">
        <v>54</v>
      </c>
      <c r="M47" s="1">
        <v>82</v>
      </c>
      <c r="N47" s="1">
        <v>67</v>
      </c>
      <c r="O47" s="1">
        <v>58</v>
      </c>
      <c r="P47" s="1">
        <v>45</v>
      </c>
      <c r="Q47" s="1">
        <v>96</v>
      </c>
      <c r="R47" s="1">
        <v>100</v>
      </c>
      <c r="S47" s="1">
        <v>2</v>
      </c>
      <c r="T47" s="1">
        <v>2</v>
      </c>
      <c r="U47" s="1">
        <v>2</v>
      </c>
      <c r="V47" s="1">
        <v>2</v>
      </c>
      <c r="W47" s="1">
        <v>0</v>
      </c>
      <c r="X47" s="10">
        <v>1</v>
      </c>
      <c r="Y47" s="1">
        <v>4</v>
      </c>
      <c r="Z47" s="1">
        <v>4</v>
      </c>
      <c r="AA47" s="1">
        <v>4</v>
      </c>
      <c r="AB47" s="1">
        <v>4</v>
      </c>
      <c r="AC47" s="1">
        <v>0</v>
      </c>
      <c r="AD47" s="1">
        <v>35</v>
      </c>
      <c r="AE47" s="1">
        <v>124</v>
      </c>
      <c r="AF47" s="1">
        <v>163</v>
      </c>
      <c r="AG47" s="1">
        <v>170</v>
      </c>
      <c r="AH47" s="1">
        <v>160</v>
      </c>
      <c r="AI47" s="1">
        <v>172</v>
      </c>
      <c r="AJ47" s="1">
        <v>172</v>
      </c>
      <c r="AK47" s="1">
        <v>117</v>
      </c>
      <c r="AL47" s="1">
        <v>31</v>
      </c>
      <c r="AM47" s="1">
        <v>0</v>
      </c>
      <c r="AN47" s="1">
        <v>4</v>
      </c>
      <c r="AO47" s="1">
        <v>4</v>
      </c>
      <c r="AP47" s="1">
        <v>4</v>
      </c>
      <c r="AQ47" s="11">
        <v>1</v>
      </c>
      <c r="AR47" s="1">
        <v>1</v>
      </c>
      <c r="AS47" s="1">
        <v>4</v>
      </c>
      <c r="AT47" s="1">
        <v>3</v>
      </c>
      <c r="AU47" s="1">
        <v>3</v>
      </c>
      <c r="AV47" s="1">
        <v>3</v>
      </c>
      <c r="AW47" s="1">
        <v>3</v>
      </c>
      <c r="AX47" s="1">
        <v>3</v>
      </c>
      <c r="AY47" s="1">
        <v>41</v>
      </c>
      <c r="AZ47" s="1">
        <v>95</v>
      </c>
      <c r="BA47" s="1">
        <v>128</v>
      </c>
      <c r="BB47" s="1">
        <v>132</v>
      </c>
      <c r="BC47" s="1">
        <v>120</v>
      </c>
      <c r="BD47" s="1">
        <v>92</v>
      </c>
      <c r="BE47" s="1">
        <v>33</v>
      </c>
      <c r="BF47" s="1">
        <v>1</v>
      </c>
      <c r="BG47" s="1">
        <v>3</v>
      </c>
      <c r="BH47" s="1">
        <v>3</v>
      </c>
      <c r="BI47" s="1">
        <v>3</v>
      </c>
      <c r="BJ47" s="1">
        <v>4</v>
      </c>
      <c r="BK47" s="1">
        <v>1</v>
      </c>
      <c r="BL47" s="10">
        <v>1</v>
      </c>
      <c r="BM47" s="1">
        <v>6</v>
      </c>
      <c r="BN47" s="1">
        <v>6</v>
      </c>
      <c r="BO47" s="1">
        <v>4</v>
      </c>
      <c r="BP47" s="1">
        <v>41</v>
      </c>
      <c r="BQ47" s="1">
        <v>128</v>
      </c>
      <c r="BR47" s="1">
        <v>85</v>
      </c>
      <c r="BS47" s="1">
        <v>73</v>
      </c>
      <c r="BT47" s="1">
        <v>80</v>
      </c>
      <c r="BU47" s="1">
        <v>68</v>
      </c>
      <c r="BV47" s="1">
        <v>77</v>
      </c>
      <c r="BW47" s="1">
        <v>82</v>
      </c>
      <c r="BX47" s="1">
        <v>80</v>
      </c>
      <c r="BY47" s="1">
        <v>77</v>
      </c>
      <c r="BZ47" s="1">
        <v>115</v>
      </c>
      <c r="CA47" s="1">
        <v>70</v>
      </c>
      <c r="CB47" s="1">
        <v>5</v>
      </c>
      <c r="CC47" s="1">
        <v>5</v>
      </c>
      <c r="CD47" s="1">
        <v>5</v>
      </c>
      <c r="CE47" s="11">
        <v>1</v>
      </c>
    </row>
    <row r="48" spans="1:83" ht="17" customHeight="1" x14ac:dyDescent="0.2">
      <c r="A48" s="66"/>
      <c r="C48" s="68"/>
      <c r="D48" s="10">
        <v>1</v>
      </c>
      <c r="E48" s="1">
        <v>2</v>
      </c>
      <c r="F48" s="1">
        <v>2</v>
      </c>
      <c r="G48" s="1">
        <v>2</v>
      </c>
      <c r="H48" s="1">
        <v>0</v>
      </c>
      <c r="I48" s="1">
        <v>32</v>
      </c>
      <c r="J48" s="1">
        <v>97</v>
      </c>
      <c r="K48" s="1">
        <v>88</v>
      </c>
      <c r="L48" s="1">
        <v>65</v>
      </c>
      <c r="M48" s="1">
        <v>61</v>
      </c>
      <c r="N48" s="1">
        <v>56</v>
      </c>
      <c r="O48" s="1">
        <v>62</v>
      </c>
      <c r="P48" s="1">
        <v>102</v>
      </c>
      <c r="Q48" s="1">
        <v>87</v>
      </c>
      <c r="R48" s="1">
        <v>8</v>
      </c>
      <c r="S48" s="1">
        <v>1</v>
      </c>
      <c r="T48" s="1">
        <v>2</v>
      </c>
      <c r="U48" s="1">
        <v>2</v>
      </c>
      <c r="V48" s="1">
        <v>2</v>
      </c>
      <c r="W48" s="1">
        <v>1</v>
      </c>
      <c r="X48" s="10">
        <v>1</v>
      </c>
      <c r="Y48" s="1">
        <v>4</v>
      </c>
      <c r="Z48" s="1">
        <v>3</v>
      </c>
      <c r="AA48" s="1">
        <v>3</v>
      </c>
      <c r="AB48" s="1">
        <v>3</v>
      </c>
      <c r="AC48" s="1">
        <v>3</v>
      </c>
      <c r="AD48" s="1">
        <v>0</v>
      </c>
      <c r="AE48" s="1">
        <v>7</v>
      </c>
      <c r="AF48" s="1">
        <v>39</v>
      </c>
      <c r="AG48" s="1">
        <v>73</v>
      </c>
      <c r="AH48" s="1">
        <v>88</v>
      </c>
      <c r="AI48" s="1">
        <v>77</v>
      </c>
      <c r="AJ48" s="1">
        <v>41</v>
      </c>
      <c r="AK48" s="1">
        <v>7</v>
      </c>
      <c r="AL48" s="1">
        <v>0</v>
      </c>
      <c r="AM48" s="1">
        <v>3</v>
      </c>
      <c r="AN48" s="1">
        <v>3</v>
      </c>
      <c r="AO48" s="1">
        <v>3</v>
      </c>
      <c r="AP48" s="1">
        <v>4</v>
      </c>
      <c r="AQ48" s="11">
        <v>1</v>
      </c>
      <c r="AR48" s="1">
        <v>1</v>
      </c>
      <c r="AS48" s="1">
        <v>4</v>
      </c>
      <c r="AT48" s="1">
        <v>4</v>
      </c>
      <c r="AU48" s="1">
        <v>3</v>
      </c>
      <c r="AV48" s="1">
        <v>3</v>
      </c>
      <c r="AW48" s="1">
        <v>4</v>
      </c>
      <c r="AX48" s="1">
        <v>4</v>
      </c>
      <c r="AY48" s="1">
        <v>1</v>
      </c>
      <c r="AZ48" s="1">
        <v>2</v>
      </c>
      <c r="BA48" s="1">
        <v>10</v>
      </c>
      <c r="BB48" s="1">
        <v>13</v>
      </c>
      <c r="BC48" s="1">
        <v>10</v>
      </c>
      <c r="BD48" s="1">
        <v>2</v>
      </c>
      <c r="BE48" s="1">
        <v>0</v>
      </c>
      <c r="BF48" s="1">
        <v>3</v>
      </c>
      <c r="BG48" s="1">
        <v>3</v>
      </c>
      <c r="BH48" s="1">
        <v>3</v>
      </c>
      <c r="BI48" s="1">
        <v>3</v>
      </c>
      <c r="BJ48" s="1">
        <v>4</v>
      </c>
      <c r="BK48" s="1">
        <v>1</v>
      </c>
      <c r="BL48" s="10">
        <v>0</v>
      </c>
      <c r="BM48" s="1">
        <v>3</v>
      </c>
      <c r="BN48" s="1">
        <v>3</v>
      </c>
      <c r="BO48" s="1">
        <v>4</v>
      </c>
      <c r="BP48" s="1">
        <v>0</v>
      </c>
      <c r="BQ48" s="1">
        <v>28</v>
      </c>
      <c r="BR48" s="1">
        <v>101</v>
      </c>
      <c r="BS48" s="1">
        <v>101</v>
      </c>
      <c r="BT48" s="1">
        <v>100</v>
      </c>
      <c r="BU48" s="1">
        <v>110</v>
      </c>
      <c r="BV48" s="1">
        <v>105</v>
      </c>
      <c r="BW48" s="1">
        <v>96</v>
      </c>
      <c r="BX48" s="1">
        <v>105</v>
      </c>
      <c r="BY48" s="1">
        <v>106</v>
      </c>
      <c r="BZ48" s="1">
        <v>36</v>
      </c>
      <c r="CA48" s="1">
        <v>1</v>
      </c>
      <c r="CB48" s="1">
        <v>5</v>
      </c>
      <c r="CC48" s="1">
        <v>4</v>
      </c>
      <c r="CD48" s="1">
        <v>4</v>
      </c>
      <c r="CE48" s="11">
        <v>1</v>
      </c>
    </row>
    <row r="49" spans="1:83" ht="17" customHeight="1" x14ac:dyDescent="0.2">
      <c r="A49" s="66"/>
      <c r="C49" s="68"/>
      <c r="D49" s="10">
        <v>1</v>
      </c>
      <c r="E49" s="1">
        <v>2</v>
      </c>
      <c r="F49" s="1">
        <v>2</v>
      </c>
      <c r="G49" s="1">
        <v>2</v>
      </c>
      <c r="H49" s="1">
        <v>2</v>
      </c>
      <c r="I49" s="1">
        <v>0</v>
      </c>
      <c r="J49" s="1">
        <v>10</v>
      </c>
      <c r="K49" s="1">
        <v>67</v>
      </c>
      <c r="L49" s="1">
        <v>105</v>
      </c>
      <c r="M49" s="1">
        <v>96</v>
      </c>
      <c r="N49" s="1">
        <v>85</v>
      </c>
      <c r="O49" s="1">
        <v>89</v>
      </c>
      <c r="P49" s="1">
        <v>44</v>
      </c>
      <c r="Q49" s="1">
        <v>0</v>
      </c>
      <c r="R49" s="1">
        <v>1</v>
      </c>
      <c r="S49" s="1">
        <v>2</v>
      </c>
      <c r="T49" s="1">
        <v>2</v>
      </c>
      <c r="U49" s="1">
        <v>2</v>
      </c>
      <c r="V49" s="1">
        <v>2</v>
      </c>
      <c r="W49" s="1">
        <v>0</v>
      </c>
      <c r="X49" s="10">
        <v>1</v>
      </c>
      <c r="Y49" s="1">
        <v>4</v>
      </c>
      <c r="Z49" s="1">
        <v>4</v>
      </c>
      <c r="AA49" s="1">
        <v>3</v>
      </c>
      <c r="AB49" s="1">
        <v>3</v>
      </c>
      <c r="AC49" s="1">
        <v>3</v>
      </c>
      <c r="AD49" s="1">
        <v>3</v>
      </c>
      <c r="AE49" s="1">
        <v>2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2</v>
      </c>
      <c r="AL49" s="1">
        <v>3</v>
      </c>
      <c r="AM49" s="1">
        <v>3</v>
      </c>
      <c r="AN49" s="1">
        <v>3</v>
      </c>
      <c r="AO49" s="1">
        <v>3</v>
      </c>
      <c r="AP49" s="1">
        <v>3</v>
      </c>
      <c r="AQ49" s="11">
        <v>1</v>
      </c>
      <c r="AR49" s="1">
        <v>1</v>
      </c>
      <c r="AS49" s="1">
        <v>4</v>
      </c>
      <c r="AT49" s="1">
        <v>3</v>
      </c>
      <c r="AU49" s="1">
        <v>3</v>
      </c>
      <c r="AV49" s="1">
        <v>3</v>
      </c>
      <c r="AW49" s="1">
        <v>3</v>
      </c>
      <c r="AX49" s="1">
        <v>3</v>
      </c>
      <c r="AY49" s="1">
        <v>3</v>
      </c>
      <c r="AZ49" s="1">
        <v>3</v>
      </c>
      <c r="BA49" s="1">
        <v>2</v>
      </c>
      <c r="BB49" s="1">
        <v>2</v>
      </c>
      <c r="BC49" s="1">
        <v>2</v>
      </c>
      <c r="BD49" s="1">
        <v>3</v>
      </c>
      <c r="BE49" s="1">
        <v>3</v>
      </c>
      <c r="BF49" s="1">
        <v>3</v>
      </c>
      <c r="BG49" s="1">
        <v>3</v>
      </c>
      <c r="BH49" s="1">
        <v>3</v>
      </c>
      <c r="BI49" s="1">
        <v>3</v>
      </c>
      <c r="BJ49" s="1">
        <v>4</v>
      </c>
      <c r="BK49" s="1">
        <v>1</v>
      </c>
      <c r="BL49" s="10">
        <v>0</v>
      </c>
      <c r="BM49" s="1">
        <v>2</v>
      </c>
      <c r="BN49" s="1">
        <v>2</v>
      </c>
      <c r="BO49" s="1">
        <v>2</v>
      </c>
      <c r="BP49" s="1">
        <v>2</v>
      </c>
      <c r="BQ49" s="1">
        <v>0</v>
      </c>
      <c r="BR49" s="1">
        <v>4</v>
      </c>
      <c r="BS49" s="1">
        <v>44</v>
      </c>
      <c r="BT49" s="1">
        <v>89</v>
      </c>
      <c r="BU49" s="1">
        <v>117</v>
      </c>
      <c r="BV49" s="1">
        <v>116</v>
      </c>
      <c r="BW49" s="1">
        <v>86</v>
      </c>
      <c r="BX49" s="1">
        <v>45</v>
      </c>
      <c r="BY49" s="1">
        <v>8</v>
      </c>
      <c r="BZ49" s="1">
        <v>0</v>
      </c>
      <c r="CA49" s="1">
        <v>2</v>
      </c>
      <c r="CB49" s="1">
        <v>2</v>
      </c>
      <c r="CC49" s="1">
        <v>2</v>
      </c>
      <c r="CD49" s="1">
        <v>2</v>
      </c>
      <c r="CE49" s="11">
        <v>0</v>
      </c>
    </row>
    <row r="50" spans="1:83" ht="17" customHeight="1" x14ac:dyDescent="0.2">
      <c r="A50" s="66"/>
      <c r="C50" s="68"/>
      <c r="D50" s="10">
        <v>1</v>
      </c>
      <c r="E50" s="1">
        <v>2</v>
      </c>
      <c r="F50" s="1">
        <v>2</v>
      </c>
      <c r="G50" s="1">
        <v>2</v>
      </c>
      <c r="H50" s="1">
        <v>2</v>
      </c>
      <c r="I50" s="1">
        <v>2</v>
      </c>
      <c r="J50" s="1">
        <v>1</v>
      </c>
      <c r="K50" s="1">
        <v>0</v>
      </c>
      <c r="L50" s="1">
        <v>3</v>
      </c>
      <c r="M50" s="1">
        <v>10</v>
      </c>
      <c r="N50" s="1">
        <v>8</v>
      </c>
      <c r="O50" s="1">
        <v>0</v>
      </c>
      <c r="P50" s="1">
        <v>0</v>
      </c>
      <c r="Q50" s="1">
        <v>2</v>
      </c>
      <c r="R50" s="1">
        <v>2</v>
      </c>
      <c r="S50" s="1">
        <v>2</v>
      </c>
      <c r="T50" s="1">
        <v>2</v>
      </c>
      <c r="U50" s="1">
        <v>2</v>
      </c>
      <c r="V50" s="1">
        <v>2</v>
      </c>
      <c r="W50" s="1">
        <v>0</v>
      </c>
      <c r="X50" s="10">
        <v>0</v>
      </c>
      <c r="Y50" s="1">
        <v>4</v>
      </c>
      <c r="Z50" s="1">
        <v>4</v>
      </c>
      <c r="AA50" s="1">
        <v>3</v>
      </c>
      <c r="AB50" s="1">
        <v>3</v>
      </c>
      <c r="AC50" s="1">
        <v>3</v>
      </c>
      <c r="AD50" s="1">
        <v>3</v>
      </c>
      <c r="AE50" s="1">
        <v>3</v>
      </c>
      <c r="AF50" s="1">
        <v>3</v>
      </c>
      <c r="AG50" s="1">
        <v>3</v>
      </c>
      <c r="AH50" s="1">
        <v>3</v>
      </c>
      <c r="AI50" s="1">
        <v>3</v>
      </c>
      <c r="AJ50" s="1">
        <v>3</v>
      </c>
      <c r="AK50" s="1">
        <v>3</v>
      </c>
      <c r="AL50" s="1">
        <v>3</v>
      </c>
      <c r="AM50" s="1">
        <v>4</v>
      </c>
      <c r="AN50" s="1">
        <v>3</v>
      </c>
      <c r="AO50" s="1">
        <v>4</v>
      </c>
      <c r="AP50" s="1">
        <v>4</v>
      </c>
      <c r="AQ50" s="11">
        <v>1</v>
      </c>
      <c r="AR50" s="1">
        <v>1</v>
      </c>
      <c r="AS50" s="1">
        <v>4</v>
      </c>
      <c r="AT50" s="1">
        <v>4</v>
      </c>
      <c r="AU50" s="1">
        <v>3</v>
      </c>
      <c r="AV50" s="1">
        <v>3</v>
      </c>
      <c r="AW50" s="1">
        <v>3</v>
      </c>
      <c r="AX50" s="1">
        <v>3</v>
      </c>
      <c r="AY50" s="1">
        <v>3</v>
      </c>
      <c r="AZ50" s="1">
        <v>3</v>
      </c>
      <c r="BA50" s="1">
        <v>3</v>
      </c>
      <c r="BB50" s="1">
        <v>3</v>
      </c>
      <c r="BC50" s="1">
        <v>3</v>
      </c>
      <c r="BD50" s="1">
        <v>3</v>
      </c>
      <c r="BE50" s="1">
        <v>3</v>
      </c>
      <c r="BF50" s="1">
        <v>3</v>
      </c>
      <c r="BG50" s="1">
        <v>3</v>
      </c>
      <c r="BH50" s="1">
        <v>4</v>
      </c>
      <c r="BI50" s="1">
        <v>4</v>
      </c>
      <c r="BJ50" s="1">
        <v>3</v>
      </c>
      <c r="BK50" s="1">
        <v>1</v>
      </c>
      <c r="BL50" s="10">
        <v>0</v>
      </c>
      <c r="BM50" s="1">
        <v>2</v>
      </c>
      <c r="BN50" s="1">
        <v>2</v>
      </c>
      <c r="BO50" s="1">
        <v>2</v>
      </c>
      <c r="BP50" s="1">
        <v>2</v>
      </c>
      <c r="BQ50" s="1">
        <v>2</v>
      </c>
      <c r="BR50" s="1">
        <v>1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1</v>
      </c>
      <c r="BZ50" s="1">
        <v>2</v>
      </c>
      <c r="CA50" s="1">
        <v>2</v>
      </c>
      <c r="CB50" s="1">
        <v>2</v>
      </c>
      <c r="CC50" s="1">
        <v>2</v>
      </c>
      <c r="CD50" s="1">
        <v>2</v>
      </c>
      <c r="CE50" s="11">
        <v>0</v>
      </c>
    </row>
    <row r="51" spans="1:83" ht="17" customHeight="1" x14ac:dyDescent="0.2">
      <c r="A51" s="66"/>
      <c r="C51" s="68"/>
      <c r="D51" s="10">
        <v>0</v>
      </c>
      <c r="E51" s="1">
        <v>2</v>
      </c>
      <c r="F51" s="1">
        <v>2</v>
      </c>
      <c r="G51" s="1">
        <v>2</v>
      </c>
      <c r="H51" s="1">
        <v>2</v>
      </c>
      <c r="I51" s="1">
        <v>2</v>
      </c>
      <c r="J51" s="1">
        <v>2</v>
      </c>
      <c r="K51" s="1">
        <v>2</v>
      </c>
      <c r="L51" s="1">
        <v>2</v>
      </c>
      <c r="M51" s="1">
        <v>1</v>
      </c>
      <c r="N51" s="1">
        <v>1</v>
      </c>
      <c r="O51" s="1">
        <v>2</v>
      </c>
      <c r="P51" s="1">
        <v>2</v>
      </c>
      <c r="Q51" s="1">
        <v>2</v>
      </c>
      <c r="R51" s="1">
        <v>2</v>
      </c>
      <c r="S51" s="1">
        <v>2</v>
      </c>
      <c r="T51" s="1">
        <v>2</v>
      </c>
      <c r="U51" s="1">
        <v>3</v>
      </c>
      <c r="V51" s="1">
        <v>2</v>
      </c>
      <c r="W51" s="1">
        <v>0</v>
      </c>
      <c r="X51" s="10">
        <v>0</v>
      </c>
      <c r="Y51" s="1">
        <v>3</v>
      </c>
      <c r="Z51" s="1">
        <v>4</v>
      </c>
      <c r="AA51" s="1">
        <v>4</v>
      </c>
      <c r="AB51" s="1">
        <v>4</v>
      </c>
      <c r="AC51" s="1">
        <v>3</v>
      </c>
      <c r="AD51" s="1">
        <v>3</v>
      </c>
      <c r="AE51" s="1">
        <v>3</v>
      </c>
      <c r="AF51" s="1">
        <v>3</v>
      </c>
      <c r="AG51" s="1">
        <v>3</v>
      </c>
      <c r="AH51" s="1">
        <v>3</v>
      </c>
      <c r="AI51" s="1">
        <v>3</v>
      </c>
      <c r="AJ51" s="1">
        <v>4</v>
      </c>
      <c r="AK51" s="1">
        <v>3</v>
      </c>
      <c r="AL51" s="1">
        <v>3</v>
      </c>
      <c r="AM51" s="1">
        <v>4</v>
      </c>
      <c r="AN51" s="1">
        <v>4</v>
      </c>
      <c r="AO51" s="1">
        <v>4</v>
      </c>
      <c r="AP51" s="1">
        <v>3</v>
      </c>
      <c r="AQ51" s="11">
        <v>0</v>
      </c>
      <c r="AR51" s="1">
        <v>0</v>
      </c>
      <c r="AS51" s="1">
        <v>4</v>
      </c>
      <c r="AT51" s="1">
        <v>4</v>
      </c>
      <c r="AU51" s="1">
        <v>4</v>
      </c>
      <c r="AV51" s="1">
        <v>4</v>
      </c>
      <c r="AW51" s="1">
        <v>4</v>
      </c>
      <c r="AX51" s="1">
        <v>3</v>
      </c>
      <c r="AY51" s="1">
        <v>4</v>
      </c>
      <c r="AZ51" s="1">
        <v>4</v>
      </c>
      <c r="BA51" s="1">
        <v>3</v>
      </c>
      <c r="BB51" s="1">
        <v>3</v>
      </c>
      <c r="BC51" s="1">
        <v>4</v>
      </c>
      <c r="BD51" s="1">
        <v>3</v>
      </c>
      <c r="BE51" s="1">
        <v>3</v>
      </c>
      <c r="BF51" s="1">
        <v>4</v>
      </c>
      <c r="BG51" s="1">
        <v>3</v>
      </c>
      <c r="BH51" s="1">
        <v>4</v>
      </c>
      <c r="BI51" s="1">
        <v>4</v>
      </c>
      <c r="BJ51" s="1">
        <v>4</v>
      </c>
      <c r="BK51" s="1">
        <v>1</v>
      </c>
      <c r="BL51" s="10">
        <v>0</v>
      </c>
      <c r="BM51" s="1">
        <v>2</v>
      </c>
      <c r="BN51" s="1">
        <v>2</v>
      </c>
      <c r="BO51" s="1">
        <v>2</v>
      </c>
      <c r="BP51" s="1">
        <v>2</v>
      </c>
      <c r="BQ51" s="1">
        <v>2</v>
      </c>
      <c r="BR51" s="1">
        <v>2</v>
      </c>
      <c r="BS51" s="1">
        <v>2</v>
      </c>
      <c r="BT51" s="1">
        <v>2</v>
      </c>
      <c r="BU51" s="1">
        <v>2</v>
      </c>
      <c r="BV51" s="1">
        <v>2</v>
      </c>
      <c r="BW51" s="1">
        <v>2</v>
      </c>
      <c r="BX51" s="1">
        <v>2</v>
      </c>
      <c r="BY51" s="1">
        <v>2</v>
      </c>
      <c r="BZ51" s="1">
        <v>2</v>
      </c>
      <c r="CA51" s="1">
        <v>2</v>
      </c>
      <c r="CB51" s="1">
        <v>2</v>
      </c>
      <c r="CC51" s="1">
        <v>2</v>
      </c>
      <c r="CD51" s="1">
        <v>2</v>
      </c>
      <c r="CE51" s="11">
        <v>0</v>
      </c>
    </row>
    <row r="52" spans="1:83" ht="17" customHeight="1" thickBot="1" x14ac:dyDescent="0.25">
      <c r="A52" s="69"/>
      <c r="B52" s="70"/>
      <c r="C52" s="71"/>
      <c r="D52" s="10">
        <v>0</v>
      </c>
      <c r="E52" s="1">
        <v>1</v>
      </c>
      <c r="F52" s="1">
        <v>1</v>
      </c>
      <c r="G52" s="1">
        <v>1</v>
      </c>
      <c r="H52" s="1">
        <v>1</v>
      </c>
      <c r="I52" s="1">
        <v>2</v>
      </c>
      <c r="J52" s="1">
        <v>1</v>
      </c>
      <c r="K52" s="1">
        <v>2</v>
      </c>
      <c r="L52" s="1">
        <v>2</v>
      </c>
      <c r="M52" s="1">
        <v>1</v>
      </c>
      <c r="N52" s="1">
        <v>1</v>
      </c>
      <c r="O52" s="1">
        <v>1</v>
      </c>
      <c r="P52" s="1">
        <v>1</v>
      </c>
      <c r="Q52" s="1">
        <v>1</v>
      </c>
      <c r="R52" s="1">
        <v>1</v>
      </c>
      <c r="S52" s="1">
        <v>1</v>
      </c>
      <c r="T52" s="1">
        <v>1</v>
      </c>
      <c r="U52" s="1">
        <v>1</v>
      </c>
      <c r="V52" s="1">
        <v>1</v>
      </c>
      <c r="W52" s="1">
        <v>0</v>
      </c>
      <c r="X52" s="10">
        <v>0</v>
      </c>
      <c r="Y52" s="1">
        <v>1</v>
      </c>
      <c r="Z52" s="1">
        <v>1</v>
      </c>
      <c r="AA52" s="1">
        <v>1</v>
      </c>
      <c r="AB52" s="1">
        <v>2</v>
      </c>
      <c r="AC52" s="1">
        <v>2</v>
      </c>
      <c r="AD52" s="1">
        <v>2</v>
      </c>
      <c r="AE52" s="1">
        <v>2</v>
      </c>
      <c r="AF52" s="1">
        <v>2</v>
      </c>
      <c r="AG52" s="1">
        <v>2</v>
      </c>
      <c r="AH52" s="1">
        <v>2</v>
      </c>
      <c r="AI52" s="1">
        <v>2</v>
      </c>
      <c r="AJ52" s="1">
        <v>2</v>
      </c>
      <c r="AK52" s="1">
        <v>2</v>
      </c>
      <c r="AL52" s="1">
        <v>2</v>
      </c>
      <c r="AM52" s="1">
        <v>2</v>
      </c>
      <c r="AN52" s="1">
        <v>2</v>
      </c>
      <c r="AO52" s="1">
        <v>1</v>
      </c>
      <c r="AP52" s="1">
        <v>1</v>
      </c>
      <c r="AQ52" s="11">
        <v>0</v>
      </c>
      <c r="AR52" s="1">
        <v>0</v>
      </c>
      <c r="AS52" s="1">
        <v>1</v>
      </c>
      <c r="AT52" s="1">
        <v>1</v>
      </c>
      <c r="AU52" s="1">
        <v>2</v>
      </c>
      <c r="AV52" s="1">
        <v>2</v>
      </c>
      <c r="AW52" s="1">
        <v>2</v>
      </c>
      <c r="AX52" s="1">
        <v>2</v>
      </c>
      <c r="AY52" s="1">
        <v>2</v>
      </c>
      <c r="AZ52" s="1">
        <v>2</v>
      </c>
      <c r="BA52" s="1">
        <v>2</v>
      </c>
      <c r="BB52" s="1">
        <v>2</v>
      </c>
      <c r="BC52" s="1">
        <v>2</v>
      </c>
      <c r="BD52" s="1">
        <v>2</v>
      </c>
      <c r="BE52" s="1">
        <v>2</v>
      </c>
      <c r="BF52" s="1">
        <v>2</v>
      </c>
      <c r="BG52" s="1">
        <v>2</v>
      </c>
      <c r="BH52" s="1">
        <v>2</v>
      </c>
      <c r="BI52" s="1">
        <v>2</v>
      </c>
      <c r="BJ52" s="1">
        <v>1</v>
      </c>
      <c r="BK52" s="1">
        <v>0</v>
      </c>
      <c r="BL52" s="10">
        <v>0</v>
      </c>
      <c r="BM52" s="1">
        <v>1</v>
      </c>
      <c r="BN52" s="1">
        <v>1</v>
      </c>
      <c r="BO52" s="1">
        <v>1</v>
      </c>
      <c r="BP52" s="1">
        <v>1</v>
      </c>
      <c r="BQ52" s="1">
        <v>1</v>
      </c>
      <c r="BR52" s="1">
        <v>1</v>
      </c>
      <c r="BS52" s="1">
        <v>1</v>
      </c>
      <c r="BT52" s="1">
        <v>1</v>
      </c>
      <c r="BU52" s="1">
        <v>1</v>
      </c>
      <c r="BV52" s="1">
        <v>1</v>
      </c>
      <c r="BW52" s="1">
        <v>1</v>
      </c>
      <c r="BX52" s="1">
        <v>1</v>
      </c>
      <c r="BY52" s="1">
        <v>1</v>
      </c>
      <c r="BZ52" s="1">
        <v>1</v>
      </c>
      <c r="CA52" s="1">
        <v>1</v>
      </c>
      <c r="CB52" s="1">
        <v>1</v>
      </c>
      <c r="CC52" s="1">
        <v>1</v>
      </c>
      <c r="CD52" s="1">
        <v>1</v>
      </c>
      <c r="CE52" s="11">
        <v>0</v>
      </c>
    </row>
    <row r="53" spans="1:83" ht="17" customHeight="1" x14ac:dyDescent="0.2">
      <c r="A53" s="63"/>
      <c r="B53" s="64"/>
      <c r="C53" s="65" t="s">
        <v>42</v>
      </c>
      <c r="D53" s="7">
        <v>0</v>
      </c>
      <c r="E53" s="8">
        <v>1</v>
      </c>
      <c r="F53" s="8">
        <v>1</v>
      </c>
      <c r="G53" s="8">
        <v>1</v>
      </c>
      <c r="H53" s="8">
        <v>1</v>
      </c>
      <c r="I53" s="8">
        <v>1</v>
      </c>
      <c r="J53" s="8">
        <v>1</v>
      </c>
      <c r="K53" s="8">
        <v>1</v>
      </c>
      <c r="L53" s="8">
        <v>2</v>
      </c>
      <c r="M53" s="8">
        <v>1</v>
      </c>
      <c r="N53" s="8">
        <v>1</v>
      </c>
      <c r="O53" s="8">
        <v>2</v>
      </c>
      <c r="P53" s="8">
        <v>2</v>
      </c>
      <c r="Q53" s="8">
        <v>2</v>
      </c>
      <c r="R53" s="8">
        <v>2</v>
      </c>
      <c r="S53" s="8">
        <v>1</v>
      </c>
      <c r="T53" s="8">
        <v>1</v>
      </c>
      <c r="U53" s="8">
        <v>1</v>
      </c>
      <c r="V53" s="8">
        <v>1</v>
      </c>
      <c r="W53" s="9">
        <v>0</v>
      </c>
      <c r="X53" s="7">
        <v>1</v>
      </c>
      <c r="Y53" s="8">
        <v>1</v>
      </c>
      <c r="Z53" s="8">
        <v>1</v>
      </c>
      <c r="AA53" s="8">
        <v>1</v>
      </c>
      <c r="AB53" s="8">
        <v>1</v>
      </c>
      <c r="AC53" s="8">
        <v>1</v>
      </c>
      <c r="AD53" s="8">
        <v>1</v>
      </c>
      <c r="AE53" s="8">
        <v>1</v>
      </c>
      <c r="AF53" s="8">
        <v>1</v>
      </c>
      <c r="AG53" s="8">
        <v>1</v>
      </c>
      <c r="AH53" s="8">
        <v>1</v>
      </c>
      <c r="AI53" s="8">
        <v>1</v>
      </c>
      <c r="AJ53" s="8">
        <v>1</v>
      </c>
      <c r="AK53" s="8">
        <v>1</v>
      </c>
      <c r="AL53" s="8">
        <v>1</v>
      </c>
      <c r="AM53" s="8">
        <v>1</v>
      </c>
      <c r="AN53" s="8">
        <v>1</v>
      </c>
      <c r="AO53" s="8">
        <v>1</v>
      </c>
      <c r="AP53" s="8">
        <v>1</v>
      </c>
      <c r="AQ53" s="9">
        <v>1</v>
      </c>
      <c r="AR53" s="8">
        <v>15</v>
      </c>
      <c r="AS53" s="8">
        <v>15</v>
      </c>
      <c r="AT53" s="8">
        <v>16</v>
      </c>
      <c r="AU53" s="8">
        <v>16</v>
      </c>
      <c r="AV53" s="8">
        <v>16</v>
      </c>
      <c r="AW53" s="8">
        <v>16</v>
      </c>
      <c r="AX53" s="8">
        <v>16</v>
      </c>
      <c r="AY53" s="8">
        <v>16</v>
      </c>
      <c r="AZ53" s="8">
        <v>17</v>
      </c>
      <c r="BA53" s="8">
        <v>16</v>
      </c>
      <c r="BB53" s="8">
        <v>16</v>
      </c>
      <c r="BC53" s="8">
        <v>16</v>
      </c>
      <c r="BD53" s="8">
        <v>16</v>
      </c>
      <c r="BE53" s="8">
        <v>17</v>
      </c>
      <c r="BF53" s="8">
        <v>17</v>
      </c>
      <c r="BG53" s="8">
        <v>16</v>
      </c>
      <c r="BH53" s="8">
        <v>16</v>
      </c>
      <c r="BI53" s="8">
        <v>16</v>
      </c>
      <c r="BJ53" s="8">
        <v>16</v>
      </c>
      <c r="BK53" s="8">
        <v>16</v>
      </c>
      <c r="BL53" s="7">
        <v>0</v>
      </c>
      <c r="BM53" s="8">
        <v>0</v>
      </c>
      <c r="BN53" s="8">
        <v>0</v>
      </c>
      <c r="BO53" s="8">
        <v>0</v>
      </c>
      <c r="BP53" s="8">
        <v>0</v>
      </c>
      <c r="BQ53" s="8">
        <v>0</v>
      </c>
      <c r="BR53" s="8">
        <v>0</v>
      </c>
      <c r="BS53" s="8">
        <v>4</v>
      </c>
      <c r="BT53" s="8">
        <v>11</v>
      </c>
      <c r="BU53" s="8">
        <v>18</v>
      </c>
      <c r="BV53" s="8">
        <v>16</v>
      </c>
      <c r="BW53" s="8">
        <v>12</v>
      </c>
      <c r="BX53" s="8">
        <v>7</v>
      </c>
      <c r="BY53" s="8">
        <v>2</v>
      </c>
      <c r="BZ53" s="8">
        <v>0</v>
      </c>
      <c r="CA53" s="8">
        <v>0</v>
      </c>
      <c r="CB53" s="8">
        <v>0</v>
      </c>
      <c r="CC53" s="8">
        <v>0</v>
      </c>
      <c r="CD53" s="8">
        <v>0</v>
      </c>
      <c r="CE53" s="9">
        <v>0</v>
      </c>
    </row>
    <row r="54" spans="1:83" ht="17" customHeight="1" x14ac:dyDescent="0.2">
      <c r="A54" s="66"/>
      <c r="C54" s="67" t="s">
        <v>9</v>
      </c>
      <c r="D54" s="10">
        <v>0</v>
      </c>
      <c r="E54" s="1">
        <v>2</v>
      </c>
      <c r="F54" s="1">
        <v>3</v>
      </c>
      <c r="G54" s="1">
        <v>3</v>
      </c>
      <c r="H54" s="1">
        <v>3</v>
      </c>
      <c r="I54" s="1">
        <v>3</v>
      </c>
      <c r="J54" s="1">
        <v>3</v>
      </c>
      <c r="K54" s="1">
        <v>1</v>
      </c>
      <c r="L54" s="1">
        <v>0</v>
      </c>
      <c r="M54" s="1">
        <v>0</v>
      </c>
      <c r="N54" s="1">
        <v>0</v>
      </c>
      <c r="O54" s="1">
        <v>0</v>
      </c>
      <c r="P54" s="1">
        <v>1</v>
      </c>
      <c r="Q54" s="1">
        <v>3</v>
      </c>
      <c r="R54" s="1">
        <v>3</v>
      </c>
      <c r="S54" s="1">
        <v>3</v>
      </c>
      <c r="T54" s="1">
        <v>2</v>
      </c>
      <c r="U54" s="1">
        <v>3</v>
      </c>
      <c r="V54" s="1">
        <v>2</v>
      </c>
      <c r="W54" s="11">
        <v>0</v>
      </c>
      <c r="X54" s="10">
        <v>1</v>
      </c>
      <c r="Y54" s="1">
        <v>1</v>
      </c>
      <c r="Z54" s="1">
        <v>1</v>
      </c>
      <c r="AA54" s="1">
        <v>1</v>
      </c>
      <c r="AB54" s="1">
        <v>1</v>
      </c>
      <c r="AC54" s="1">
        <v>1</v>
      </c>
      <c r="AD54" s="1">
        <v>1</v>
      </c>
      <c r="AE54" s="1">
        <v>1</v>
      </c>
      <c r="AF54" s="1">
        <v>1</v>
      </c>
      <c r="AG54" s="1">
        <v>1</v>
      </c>
      <c r="AH54" s="1">
        <v>1</v>
      </c>
      <c r="AI54" s="1">
        <v>1</v>
      </c>
      <c r="AJ54" s="1">
        <v>1</v>
      </c>
      <c r="AK54" s="1">
        <v>1</v>
      </c>
      <c r="AL54" s="1">
        <v>1</v>
      </c>
      <c r="AM54" s="1">
        <v>1</v>
      </c>
      <c r="AN54" s="1">
        <v>1</v>
      </c>
      <c r="AO54" s="1">
        <v>1</v>
      </c>
      <c r="AP54" s="1">
        <v>1</v>
      </c>
      <c r="AQ54" s="11">
        <v>1</v>
      </c>
      <c r="AR54" s="1">
        <v>15</v>
      </c>
      <c r="AS54" s="1">
        <v>15</v>
      </c>
      <c r="AT54" s="1">
        <v>16</v>
      </c>
      <c r="AU54" s="1">
        <v>17</v>
      </c>
      <c r="AV54" s="1">
        <v>17</v>
      </c>
      <c r="AW54" s="1">
        <v>16</v>
      </c>
      <c r="AX54" s="1">
        <v>16</v>
      </c>
      <c r="AY54" s="1">
        <v>15</v>
      </c>
      <c r="AZ54" s="1">
        <v>15</v>
      </c>
      <c r="BA54" s="1">
        <v>15</v>
      </c>
      <c r="BB54" s="1">
        <v>15</v>
      </c>
      <c r="BC54" s="1">
        <v>15</v>
      </c>
      <c r="BD54" s="1">
        <v>16</v>
      </c>
      <c r="BE54" s="1">
        <v>17</v>
      </c>
      <c r="BF54" s="1">
        <v>17</v>
      </c>
      <c r="BG54" s="1">
        <v>16</v>
      </c>
      <c r="BH54" s="1">
        <v>16</v>
      </c>
      <c r="BI54" s="1">
        <v>16</v>
      </c>
      <c r="BJ54" s="1">
        <v>16</v>
      </c>
      <c r="BK54" s="1">
        <v>16</v>
      </c>
      <c r="BL54" s="10">
        <v>0</v>
      </c>
      <c r="BM54" s="1">
        <v>0</v>
      </c>
      <c r="BN54" s="1">
        <v>0</v>
      </c>
      <c r="BO54" s="1">
        <v>0</v>
      </c>
      <c r="BP54" s="1">
        <v>0</v>
      </c>
      <c r="BQ54" s="1">
        <v>14</v>
      </c>
      <c r="BR54" s="1">
        <v>32</v>
      </c>
      <c r="BS54" s="1">
        <v>48</v>
      </c>
      <c r="BT54" s="1">
        <v>49</v>
      </c>
      <c r="BU54" s="1">
        <v>26</v>
      </c>
      <c r="BV54" s="1">
        <v>27</v>
      </c>
      <c r="BW54" s="1">
        <v>39</v>
      </c>
      <c r="BX54" s="1">
        <v>52</v>
      </c>
      <c r="BY54" s="1">
        <v>48</v>
      </c>
      <c r="BZ54" s="1">
        <v>35</v>
      </c>
      <c r="CA54" s="1">
        <v>20</v>
      </c>
      <c r="CB54" s="1">
        <v>1</v>
      </c>
      <c r="CC54" s="1">
        <v>0</v>
      </c>
      <c r="CD54" s="1">
        <v>0</v>
      </c>
      <c r="CE54" s="11">
        <v>0</v>
      </c>
    </row>
    <row r="55" spans="1:83" ht="17" customHeight="1" x14ac:dyDescent="0.2">
      <c r="A55" s="66"/>
      <c r="C55" s="68"/>
      <c r="D55" s="10">
        <v>0</v>
      </c>
      <c r="E55" s="1">
        <v>2</v>
      </c>
      <c r="F55" s="1">
        <v>3</v>
      </c>
      <c r="G55" s="1">
        <v>3</v>
      </c>
      <c r="H55" s="1">
        <v>3</v>
      </c>
      <c r="I55" s="1">
        <v>2</v>
      </c>
      <c r="J55" s="1">
        <v>0</v>
      </c>
      <c r="K55" s="1">
        <v>17</v>
      </c>
      <c r="L55" s="1">
        <v>33</v>
      </c>
      <c r="M55" s="1">
        <v>31</v>
      </c>
      <c r="N55" s="1">
        <v>38</v>
      </c>
      <c r="O55" s="1">
        <v>31</v>
      </c>
      <c r="P55" s="1">
        <v>10</v>
      </c>
      <c r="Q55" s="1">
        <v>0</v>
      </c>
      <c r="R55" s="1">
        <v>2</v>
      </c>
      <c r="S55" s="1">
        <v>3</v>
      </c>
      <c r="T55" s="1">
        <v>3</v>
      </c>
      <c r="U55" s="1">
        <v>3</v>
      </c>
      <c r="V55" s="1">
        <v>1</v>
      </c>
      <c r="W55" s="11">
        <v>0</v>
      </c>
      <c r="X55" s="10">
        <v>1</v>
      </c>
      <c r="Y55" s="1">
        <v>1</v>
      </c>
      <c r="Z55" s="1">
        <v>1</v>
      </c>
      <c r="AA55" s="1">
        <v>1</v>
      </c>
      <c r="AB55" s="1">
        <v>1</v>
      </c>
      <c r="AC55" s="1">
        <v>1</v>
      </c>
      <c r="AD55" s="1">
        <v>0</v>
      </c>
      <c r="AE55" s="1">
        <v>0</v>
      </c>
      <c r="AF55" s="1">
        <v>0</v>
      </c>
      <c r="AG55" s="1">
        <v>3</v>
      </c>
      <c r="AH55" s="1">
        <v>4</v>
      </c>
      <c r="AI55" s="1">
        <v>2</v>
      </c>
      <c r="AJ55" s="1">
        <v>0</v>
      </c>
      <c r="AK55" s="1">
        <v>0</v>
      </c>
      <c r="AL55" s="1">
        <v>1</v>
      </c>
      <c r="AM55" s="1">
        <v>1</v>
      </c>
      <c r="AN55" s="1">
        <v>1</v>
      </c>
      <c r="AO55" s="1">
        <v>1</v>
      </c>
      <c r="AP55" s="1">
        <v>1</v>
      </c>
      <c r="AQ55" s="11">
        <v>1</v>
      </c>
      <c r="AR55" s="1">
        <v>16</v>
      </c>
      <c r="AS55" s="1">
        <v>16</v>
      </c>
      <c r="AT55" s="1">
        <v>16</v>
      </c>
      <c r="AU55" s="1">
        <v>16</v>
      </c>
      <c r="AV55" s="1">
        <v>16</v>
      </c>
      <c r="AW55" s="1">
        <v>15</v>
      </c>
      <c r="AX55" s="1">
        <v>17</v>
      </c>
      <c r="AY55" s="1">
        <v>22</v>
      </c>
      <c r="AZ55" s="1">
        <v>29</v>
      </c>
      <c r="BA55" s="1">
        <v>30</v>
      </c>
      <c r="BB55" s="1">
        <v>31</v>
      </c>
      <c r="BC55" s="1">
        <v>31</v>
      </c>
      <c r="BD55" s="1">
        <v>28</v>
      </c>
      <c r="BE55" s="1">
        <v>23</v>
      </c>
      <c r="BF55" s="1">
        <v>18</v>
      </c>
      <c r="BG55" s="1">
        <v>16</v>
      </c>
      <c r="BH55" s="1">
        <v>16</v>
      </c>
      <c r="BI55" s="1">
        <v>16</v>
      </c>
      <c r="BJ55" s="1">
        <v>16</v>
      </c>
      <c r="BK55" s="1">
        <v>16</v>
      </c>
      <c r="BL55" s="10">
        <v>0</v>
      </c>
      <c r="BM55" s="1">
        <v>0</v>
      </c>
      <c r="BN55" s="1">
        <v>0</v>
      </c>
      <c r="BO55" s="1">
        <v>7</v>
      </c>
      <c r="BP55" s="1">
        <v>31</v>
      </c>
      <c r="BQ55" s="1">
        <v>67</v>
      </c>
      <c r="BR55" s="1">
        <v>110</v>
      </c>
      <c r="BS55" s="1">
        <v>121</v>
      </c>
      <c r="BT55" s="1">
        <v>134</v>
      </c>
      <c r="BU55" s="1">
        <v>120</v>
      </c>
      <c r="BV55" s="1">
        <v>93</v>
      </c>
      <c r="BW55" s="1">
        <v>42</v>
      </c>
      <c r="BX55" s="1">
        <v>95</v>
      </c>
      <c r="BY55" s="1">
        <v>129</v>
      </c>
      <c r="BZ55" s="1">
        <v>115</v>
      </c>
      <c r="CA55" s="1">
        <v>54</v>
      </c>
      <c r="CB55" s="1">
        <v>34</v>
      </c>
      <c r="CC55" s="1">
        <v>13</v>
      </c>
      <c r="CD55" s="1">
        <v>0</v>
      </c>
      <c r="CE55" s="11">
        <v>0</v>
      </c>
    </row>
    <row r="56" spans="1:83" ht="17" customHeight="1" x14ac:dyDescent="0.2">
      <c r="A56" s="66"/>
      <c r="C56" s="68"/>
      <c r="D56" s="10">
        <v>0</v>
      </c>
      <c r="E56" s="1">
        <v>3</v>
      </c>
      <c r="F56" s="1">
        <v>3</v>
      </c>
      <c r="G56" s="1">
        <v>4</v>
      </c>
      <c r="H56" s="1">
        <v>2</v>
      </c>
      <c r="I56" s="1">
        <v>12</v>
      </c>
      <c r="J56" s="1">
        <v>63</v>
      </c>
      <c r="K56" s="1">
        <v>99</v>
      </c>
      <c r="L56" s="1">
        <v>96</v>
      </c>
      <c r="M56" s="1">
        <v>109</v>
      </c>
      <c r="N56" s="1">
        <v>103</v>
      </c>
      <c r="O56" s="1">
        <v>116</v>
      </c>
      <c r="P56" s="1">
        <v>109</v>
      </c>
      <c r="Q56" s="1">
        <v>56</v>
      </c>
      <c r="R56" s="1">
        <v>6</v>
      </c>
      <c r="S56" s="1">
        <v>3</v>
      </c>
      <c r="T56" s="1">
        <v>3</v>
      </c>
      <c r="U56" s="1">
        <v>4</v>
      </c>
      <c r="V56" s="1">
        <v>2</v>
      </c>
      <c r="W56" s="11">
        <v>0</v>
      </c>
      <c r="X56" s="10">
        <v>1</v>
      </c>
      <c r="Y56" s="1">
        <v>1</v>
      </c>
      <c r="Z56" s="1">
        <v>1</v>
      </c>
      <c r="AA56" s="1">
        <v>1</v>
      </c>
      <c r="AB56" s="1">
        <v>1</v>
      </c>
      <c r="AC56" s="1">
        <v>0</v>
      </c>
      <c r="AD56" s="1">
        <v>8</v>
      </c>
      <c r="AE56" s="1">
        <v>35</v>
      </c>
      <c r="AF56" s="1">
        <v>50</v>
      </c>
      <c r="AG56" s="1">
        <v>53</v>
      </c>
      <c r="AH56" s="1">
        <v>54</v>
      </c>
      <c r="AI56" s="1">
        <v>65</v>
      </c>
      <c r="AJ56" s="1">
        <v>62</v>
      </c>
      <c r="AK56" s="1">
        <v>11</v>
      </c>
      <c r="AL56" s="1">
        <v>0</v>
      </c>
      <c r="AM56" s="1">
        <v>1</v>
      </c>
      <c r="AN56" s="1">
        <v>1</v>
      </c>
      <c r="AO56" s="1">
        <v>1</v>
      </c>
      <c r="AP56" s="1">
        <v>1</v>
      </c>
      <c r="AQ56" s="11">
        <v>1</v>
      </c>
      <c r="AR56" s="1">
        <v>16</v>
      </c>
      <c r="AS56" s="1">
        <v>17</v>
      </c>
      <c r="AT56" s="1">
        <v>17</v>
      </c>
      <c r="AU56" s="1">
        <v>17</v>
      </c>
      <c r="AV56" s="1">
        <v>15</v>
      </c>
      <c r="AW56" s="1">
        <v>21</v>
      </c>
      <c r="AX56" s="1">
        <v>33</v>
      </c>
      <c r="AY56" s="1">
        <v>42</v>
      </c>
      <c r="AZ56" s="1">
        <v>40</v>
      </c>
      <c r="BA56" s="1">
        <v>42</v>
      </c>
      <c r="BB56" s="1">
        <v>30</v>
      </c>
      <c r="BC56" s="1">
        <v>33</v>
      </c>
      <c r="BD56" s="1">
        <v>31</v>
      </c>
      <c r="BE56" s="1">
        <v>28</v>
      </c>
      <c r="BF56" s="1">
        <v>33</v>
      </c>
      <c r="BG56" s="1">
        <v>24</v>
      </c>
      <c r="BH56" s="1">
        <v>16</v>
      </c>
      <c r="BI56" s="1">
        <v>17</v>
      </c>
      <c r="BJ56" s="1">
        <v>16</v>
      </c>
      <c r="BK56" s="1">
        <v>16</v>
      </c>
      <c r="BL56" s="10">
        <v>0</v>
      </c>
      <c r="BM56" s="1">
        <v>0</v>
      </c>
      <c r="BN56" s="1">
        <v>5</v>
      </c>
      <c r="BO56" s="1">
        <v>42</v>
      </c>
      <c r="BP56" s="1">
        <v>69</v>
      </c>
      <c r="BQ56" s="1">
        <v>134</v>
      </c>
      <c r="BR56" s="1">
        <v>140</v>
      </c>
      <c r="BS56" s="1">
        <v>170</v>
      </c>
      <c r="BT56" s="1">
        <v>141</v>
      </c>
      <c r="BU56" s="1">
        <v>95</v>
      </c>
      <c r="BV56" s="1">
        <v>117</v>
      </c>
      <c r="BW56" s="1">
        <v>132</v>
      </c>
      <c r="BX56" s="1">
        <v>125</v>
      </c>
      <c r="BY56" s="1">
        <v>112</v>
      </c>
      <c r="BZ56" s="1">
        <v>139</v>
      </c>
      <c r="CA56" s="1">
        <v>140</v>
      </c>
      <c r="CB56" s="1">
        <v>70</v>
      </c>
      <c r="CC56" s="1">
        <v>47</v>
      </c>
      <c r="CD56" s="1">
        <v>20</v>
      </c>
      <c r="CE56" s="11">
        <v>0</v>
      </c>
    </row>
    <row r="57" spans="1:83" ht="17" customHeight="1" x14ac:dyDescent="0.2">
      <c r="A57" s="66"/>
      <c r="C57" s="68"/>
      <c r="D57" s="10">
        <v>0</v>
      </c>
      <c r="E57" s="1">
        <v>2</v>
      </c>
      <c r="F57" s="1">
        <v>3</v>
      </c>
      <c r="G57" s="1">
        <v>2</v>
      </c>
      <c r="H57" s="1">
        <v>16</v>
      </c>
      <c r="I57" s="1">
        <v>76</v>
      </c>
      <c r="J57" s="1">
        <v>75</v>
      </c>
      <c r="K57" s="1">
        <v>55</v>
      </c>
      <c r="L57" s="1">
        <v>55</v>
      </c>
      <c r="M57" s="1">
        <v>48</v>
      </c>
      <c r="N57" s="1">
        <v>57</v>
      </c>
      <c r="O57" s="1">
        <v>61</v>
      </c>
      <c r="P57" s="1">
        <v>59</v>
      </c>
      <c r="Q57" s="1">
        <v>100</v>
      </c>
      <c r="R57" s="1">
        <v>66</v>
      </c>
      <c r="S57" s="1">
        <v>3</v>
      </c>
      <c r="T57" s="1">
        <v>3</v>
      </c>
      <c r="U57" s="1">
        <v>3</v>
      </c>
      <c r="V57" s="1">
        <v>2</v>
      </c>
      <c r="W57" s="11">
        <v>0</v>
      </c>
      <c r="X57" s="10">
        <v>1</v>
      </c>
      <c r="Y57" s="1">
        <v>1</v>
      </c>
      <c r="Z57" s="1">
        <v>1</v>
      </c>
      <c r="AA57" s="1">
        <v>1</v>
      </c>
      <c r="AB57" s="1">
        <v>0</v>
      </c>
      <c r="AC57" s="1">
        <v>22</v>
      </c>
      <c r="AD57" s="1">
        <v>61</v>
      </c>
      <c r="AE57" s="1">
        <v>54</v>
      </c>
      <c r="AF57" s="1">
        <v>73</v>
      </c>
      <c r="AG57" s="1">
        <v>105</v>
      </c>
      <c r="AH57" s="1">
        <v>29</v>
      </c>
      <c r="AI57" s="1">
        <v>30</v>
      </c>
      <c r="AJ57" s="1">
        <v>62</v>
      </c>
      <c r="AK57" s="1">
        <v>91</v>
      </c>
      <c r="AL57" s="1">
        <v>34</v>
      </c>
      <c r="AM57" s="1">
        <v>0</v>
      </c>
      <c r="AN57" s="1">
        <v>1</v>
      </c>
      <c r="AO57" s="1">
        <v>1</v>
      </c>
      <c r="AP57" s="1">
        <v>1</v>
      </c>
      <c r="AQ57" s="11">
        <v>1</v>
      </c>
      <c r="AR57" s="1">
        <v>18</v>
      </c>
      <c r="AS57" s="1">
        <v>17</v>
      </c>
      <c r="AT57" s="1">
        <v>17</v>
      </c>
      <c r="AU57" s="1">
        <v>16</v>
      </c>
      <c r="AV57" s="1">
        <v>29</v>
      </c>
      <c r="AW57" s="1">
        <v>36</v>
      </c>
      <c r="AX57" s="1">
        <v>61</v>
      </c>
      <c r="AY57" s="1">
        <v>93</v>
      </c>
      <c r="AZ57" s="1">
        <v>89</v>
      </c>
      <c r="BA57" s="1">
        <v>91</v>
      </c>
      <c r="BB57" s="1">
        <v>73</v>
      </c>
      <c r="BC57" s="1">
        <v>88</v>
      </c>
      <c r="BD57" s="1">
        <v>86</v>
      </c>
      <c r="BE57" s="1">
        <v>69</v>
      </c>
      <c r="BF57" s="1">
        <v>39</v>
      </c>
      <c r="BG57" s="1">
        <v>39</v>
      </c>
      <c r="BH57" s="1">
        <v>29</v>
      </c>
      <c r="BI57" s="1">
        <v>16</v>
      </c>
      <c r="BJ57" s="1">
        <v>17</v>
      </c>
      <c r="BK57" s="1">
        <v>17</v>
      </c>
      <c r="BL57" s="10">
        <v>0</v>
      </c>
      <c r="BM57" s="1">
        <v>0</v>
      </c>
      <c r="BN57" s="1">
        <v>47</v>
      </c>
      <c r="BO57" s="1">
        <v>56</v>
      </c>
      <c r="BP57" s="1">
        <v>122</v>
      </c>
      <c r="BQ57" s="1">
        <v>99</v>
      </c>
      <c r="BR57" s="1">
        <v>81</v>
      </c>
      <c r="BS57" s="1">
        <v>92</v>
      </c>
      <c r="BT57" s="1">
        <v>87</v>
      </c>
      <c r="BU57" s="1">
        <v>102</v>
      </c>
      <c r="BV57" s="1">
        <v>136</v>
      </c>
      <c r="BW57" s="1">
        <v>153</v>
      </c>
      <c r="BX57" s="1">
        <v>111</v>
      </c>
      <c r="BY57" s="1">
        <v>97</v>
      </c>
      <c r="BZ57" s="1">
        <v>135</v>
      </c>
      <c r="CA57" s="1">
        <v>150</v>
      </c>
      <c r="CB57" s="1">
        <v>117</v>
      </c>
      <c r="CC57" s="1">
        <v>84</v>
      </c>
      <c r="CD57" s="1">
        <v>50</v>
      </c>
      <c r="CE57" s="11">
        <v>15</v>
      </c>
    </row>
    <row r="58" spans="1:83" ht="17" customHeight="1" x14ac:dyDescent="0.2">
      <c r="A58" s="66"/>
      <c r="C58" s="68"/>
      <c r="D58" s="10">
        <v>0</v>
      </c>
      <c r="E58" s="1">
        <v>2</v>
      </c>
      <c r="F58" s="1">
        <v>3</v>
      </c>
      <c r="G58" s="1">
        <v>4</v>
      </c>
      <c r="H58" s="1">
        <v>66</v>
      </c>
      <c r="I58" s="1">
        <v>62</v>
      </c>
      <c r="J58" s="1">
        <v>61</v>
      </c>
      <c r="K58" s="1">
        <v>72</v>
      </c>
      <c r="L58" s="1">
        <v>68</v>
      </c>
      <c r="M58" s="1">
        <v>49</v>
      </c>
      <c r="N58" s="1">
        <v>60</v>
      </c>
      <c r="O58" s="1">
        <v>71</v>
      </c>
      <c r="P58" s="1">
        <v>66</v>
      </c>
      <c r="Q58" s="1">
        <v>62</v>
      </c>
      <c r="R58" s="1">
        <v>93</v>
      </c>
      <c r="S58" s="1">
        <v>34</v>
      </c>
      <c r="T58" s="1">
        <v>0</v>
      </c>
      <c r="U58" s="1">
        <v>4</v>
      </c>
      <c r="V58" s="1">
        <v>2</v>
      </c>
      <c r="W58" s="11">
        <v>0</v>
      </c>
      <c r="X58" s="10">
        <v>1</v>
      </c>
      <c r="Y58" s="1">
        <v>1</v>
      </c>
      <c r="Z58" s="1">
        <v>1</v>
      </c>
      <c r="AA58" s="1">
        <v>0</v>
      </c>
      <c r="AB58" s="1">
        <v>8</v>
      </c>
      <c r="AC58" s="1">
        <v>50</v>
      </c>
      <c r="AD58" s="1">
        <v>50</v>
      </c>
      <c r="AE58" s="1">
        <v>39</v>
      </c>
      <c r="AF58" s="1">
        <v>93</v>
      </c>
      <c r="AG58" s="1">
        <v>139</v>
      </c>
      <c r="AH58" s="1">
        <v>130</v>
      </c>
      <c r="AI58" s="1">
        <v>136</v>
      </c>
      <c r="AJ58" s="1">
        <v>74</v>
      </c>
      <c r="AK58" s="1">
        <v>79</v>
      </c>
      <c r="AL58" s="1">
        <v>98</v>
      </c>
      <c r="AM58" s="1">
        <v>27</v>
      </c>
      <c r="AN58" s="1">
        <v>0</v>
      </c>
      <c r="AO58" s="1">
        <v>1</v>
      </c>
      <c r="AP58" s="1">
        <v>1</v>
      </c>
      <c r="AQ58" s="11">
        <v>1</v>
      </c>
      <c r="AR58" s="1">
        <v>18</v>
      </c>
      <c r="AS58" s="1">
        <v>18</v>
      </c>
      <c r="AT58" s="1">
        <v>16</v>
      </c>
      <c r="AU58" s="1">
        <v>30</v>
      </c>
      <c r="AV58" s="1">
        <v>34</v>
      </c>
      <c r="AW58" s="1">
        <v>70</v>
      </c>
      <c r="AX58" s="1">
        <v>100</v>
      </c>
      <c r="AY58" s="1">
        <v>97</v>
      </c>
      <c r="AZ58" s="1">
        <v>90</v>
      </c>
      <c r="BA58" s="1">
        <v>102</v>
      </c>
      <c r="BB58" s="1">
        <v>88</v>
      </c>
      <c r="BC58" s="1">
        <v>96</v>
      </c>
      <c r="BD58" s="1">
        <v>93</v>
      </c>
      <c r="BE58" s="1">
        <v>102</v>
      </c>
      <c r="BF58" s="1">
        <v>100</v>
      </c>
      <c r="BG58" s="1">
        <v>64</v>
      </c>
      <c r="BH58" s="1">
        <v>36</v>
      </c>
      <c r="BI58" s="1">
        <v>32</v>
      </c>
      <c r="BJ58" s="1">
        <v>16</v>
      </c>
      <c r="BK58" s="1">
        <v>17</v>
      </c>
      <c r="BL58" s="10">
        <v>0</v>
      </c>
      <c r="BM58" s="1">
        <v>41</v>
      </c>
      <c r="BN58" s="1">
        <v>48</v>
      </c>
      <c r="BO58" s="1">
        <v>109</v>
      </c>
      <c r="BP58" s="1">
        <v>97</v>
      </c>
      <c r="BQ58" s="1">
        <v>92</v>
      </c>
      <c r="BR58" s="1">
        <v>87</v>
      </c>
      <c r="BS58" s="1">
        <v>77</v>
      </c>
      <c r="BT58" s="1">
        <v>69</v>
      </c>
      <c r="BU58" s="1">
        <v>101</v>
      </c>
      <c r="BV58" s="1">
        <v>133</v>
      </c>
      <c r="BW58" s="1">
        <v>146</v>
      </c>
      <c r="BX58" s="1">
        <v>145</v>
      </c>
      <c r="BY58" s="1">
        <v>91</v>
      </c>
      <c r="BZ58" s="1">
        <v>93</v>
      </c>
      <c r="CA58" s="1">
        <v>91</v>
      </c>
      <c r="CB58" s="1">
        <v>84</v>
      </c>
      <c r="CC58" s="1">
        <v>115</v>
      </c>
      <c r="CD58" s="1">
        <v>58</v>
      </c>
      <c r="CE58" s="11">
        <v>44</v>
      </c>
    </row>
    <row r="59" spans="1:83" ht="17" customHeight="1" x14ac:dyDescent="0.2">
      <c r="A59" s="66"/>
      <c r="C59" s="68"/>
      <c r="D59" s="10">
        <v>0</v>
      </c>
      <c r="E59" s="1">
        <v>2</v>
      </c>
      <c r="F59" s="1">
        <v>0</v>
      </c>
      <c r="G59" s="1">
        <v>25</v>
      </c>
      <c r="H59" s="1">
        <v>70</v>
      </c>
      <c r="I59" s="1">
        <v>64</v>
      </c>
      <c r="J59" s="1">
        <v>75</v>
      </c>
      <c r="K59" s="1">
        <v>79</v>
      </c>
      <c r="L59" s="1">
        <v>73</v>
      </c>
      <c r="M59" s="1">
        <v>57</v>
      </c>
      <c r="N59" s="1">
        <v>66</v>
      </c>
      <c r="O59" s="1">
        <v>78</v>
      </c>
      <c r="P59" s="1">
        <v>77</v>
      </c>
      <c r="Q59" s="1">
        <v>66</v>
      </c>
      <c r="R59" s="1">
        <v>64</v>
      </c>
      <c r="S59" s="1">
        <v>76</v>
      </c>
      <c r="T59" s="1">
        <v>9</v>
      </c>
      <c r="U59" s="1">
        <v>2</v>
      </c>
      <c r="V59" s="1">
        <v>2</v>
      </c>
      <c r="W59" s="11">
        <v>0</v>
      </c>
      <c r="X59" s="10">
        <v>1</v>
      </c>
      <c r="Y59" s="1">
        <v>1</v>
      </c>
      <c r="Z59" s="1">
        <v>1</v>
      </c>
      <c r="AA59" s="1">
        <v>1</v>
      </c>
      <c r="AB59" s="1">
        <v>36</v>
      </c>
      <c r="AC59" s="1">
        <v>47</v>
      </c>
      <c r="AD59" s="1">
        <v>50</v>
      </c>
      <c r="AE59" s="1">
        <v>73</v>
      </c>
      <c r="AF59" s="1">
        <v>92</v>
      </c>
      <c r="AG59" s="1">
        <v>102</v>
      </c>
      <c r="AH59" s="1">
        <v>139</v>
      </c>
      <c r="AI59" s="1">
        <v>115</v>
      </c>
      <c r="AJ59" s="1">
        <v>125</v>
      </c>
      <c r="AK59" s="1">
        <v>95</v>
      </c>
      <c r="AL59" s="1">
        <v>96</v>
      </c>
      <c r="AM59" s="1">
        <v>96</v>
      </c>
      <c r="AN59" s="1">
        <v>6</v>
      </c>
      <c r="AO59" s="1">
        <v>1</v>
      </c>
      <c r="AP59" s="1">
        <v>1</v>
      </c>
      <c r="AQ59" s="11">
        <v>1</v>
      </c>
      <c r="AR59" s="1">
        <v>19</v>
      </c>
      <c r="AS59" s="1">
        <v>17</v>
      </c>
      <c r="AT59" s="1">
        <v>26</v>
      </c>
      <c r="AU59" s="1">
        <v>40</v>
      </c>
      <c r="AV59" s="1">
        <v>61</v>
      </c>
      <c r="AW59" s="1">
        <v>102</v>
      </c>
      <c r="AX59" s="1">
        <v>92</v>
      </c>
      <c r="AY59" s="1">
        <v>94</v>
      </c>
      <c r="AZ59" s="1">
        <v>102</v>
      </c>
      <c r="BA59" s="1">
        <v>109</v>
      </c>
      <c r="BB59" s="1">
        <v>105</v>
      </c>
      <c r="BC59" s="1">
        <v>106</v>
      </c>
      <c r="BD59" s="1">
        <v>95</v>
      </c>
      <c r="BE59" s="1">
        <v>99</v>
      </c>
      <c r="BF59" s="1">
        <v>104</v>
      </c>
      <c r="BG59" s="1">
        <v>102</v>
      </c>
      <c r="BH59" s="1">
        <v>49</v>
      </c>
      <c r="BI59" s="1">
        <v>50</v>
      </c>
      <c r="BJ59" s="1">
        <v>26</v>
      </c>
      <c r="BK59" s="1">
        <v>17</v>
      </c>
      <c r="BL59" s="10">
        <v>27</v>
      </c>
      <c r="BM59" s="1">
        <v>69</v>
      </c>
      <c r="BN59" s="1">
        <v>52</v>
      </c>
      <c r="BO59" s="1">
        <v>110</v>
      </c>
      <c r="BP59" s="1">
        <v>82</v>
      </c>
      <c r="BQ59" s="1">
        <v>93</v>
      </c>
      <c r="BR59" s="1">
        <v>93</v>
      </c>
      <c r="BS59" s="1">
        <v>74</v>
      </c>
      <c r="BT59" s="1">
        <v>72</v>
      </c>
      <c r="BU59" s="1">
        <v>95</v>
      </c>
      <c r="BV59" s="1">
        <v>138</v>
      </c>
      <c r="BW59" s="1">
        <v>127</v>
      </c>
      <c r="BX59" s="1">
        <v>98</v>
      </c>
      <c r="BY59" s="1">
        <v>75</v>
      </c>
      <c r="BZ59" s="1">
        <v>70</v>
      </c>
      <c r="CA59" s="1">
        <v>72</v>
      </c>
      <c r="CB59" s="1">
        <v>87</v>
      </c>
      <c r="CC59" s="1">
        <v>113</v>
      </c>
      <c r="CD59" s="1">
        <v>104</v>
      </c>
      <c r="CE59" s="11">
        <v>56</v>
      </c>
    </row>
    <row r="60" spans="1:83" ht="17" customHeight="1" x14ac:dyDescent="0.2">
      <c r="A60" s="66"/>
      <c r="C60" s="68"/>
      <c r="D60" s="10">
        <v>0</v>
      </c>
      <c r="E60" s="1">
        <v>2</v>
      </c>
      <c r="F60" s="1">
        <v>4</v>
      </c>
      <c r="G60" s="1">
        <v>60</v>
      </c>
      <c r="H60" s="1">
        <v>63</v>
      </c>
      <c r="I60" s="1">
        <v>70</v>
      </c>
      <c r="J60" s="1">
        <v>78</v>
      </c>
      <c r="K60" s="1">
        <v>80</v>
      </c>
      <c r="L60" s="1">
        <v>78</v>
      </c>
      <c r="M60" s="1">
        <v>65</v>
      </c>
      <c r="N60" s="1">
        <v>74</v>
      </c>
      <c r="O60" s="1">
        <v>77</v>
      </c>
      <c r="P60" s="1">
        <v>75</v>
      </c>
      <c r="Q60" s="1">
        <v>73</v>
      </c>
      <c r="R60" s="1">
        <v>62</v>
      </c>
      <c r="S60" s="1">
        <v>83</v>
      </c>
      <c r="T60" s="1">
        <v>48</v>
      </c>
      <c r="U60" s="1">
        <v>2</v>
      </c>
      <c r="V60" s="1">
        <v>2</v>
      </c>
      <c r="W60" s="11">
        <v>0</v>
      </c>
      <c r="X60" s="10">
        <v>1</v>
      </c>
      <c r="Y60" s="1">
        <v>1</v>
      </c>
      <c r="Z60" s="1">
        <v>0</v>
      </c>
      <c r="AA60" s="1">
        <v>18</v>
      </c>
      <c r="AB60" s="1">
        <v>38</v>
      </c>
      <c r="AC60" s="1">
        <v>61</v>
      </c>
      <c r="AD60" s="1">
        <v>90</v>
      </c>
      <c r="AE60" s="1">
        <v>107</v>
      </c>
      <c r="AF60" s="1">
        <v>84</v>
      </c>
      <c r="AG60" s="1">
        <v>107</v>
      </c>
      <c r="AH60" s="1">
        <v>139</v>
      </c>
      <c r="AI60" s="1">
        <v>107</v>
      </c>
      <c r="AJ60" s="1">
        <v>131</v>
      </c>
      <c r="AK60" s="1">
        <v>139</v>
      </c>
      <c r="AL60" s="1">
        <v>118</v>
      </c>
      <c r="AM60" s="1">
        <v>87</v>
      </c>
      <c r="AN60" s="1">
        <v>48</v>
      </c>
      <c r="AO60" s="1">
        <v>0</v>
      </c>
      <c r="AP60" s="1">
        <v>1</v>
      </c>
      <c r="AQ60" s="11">
        <v>1</v>
      </c>
      <c r="AR60" s="1">
        <v>19</v>
      </c>
      <c r="AS60" s="1">
        <v>18</v>
      </c>
      <c r="AT60" s="1">
        <v>42</v>
      </c>
      <c r="AU60" s="1">
        <v>45</v>
      </c>
      <c r="AV60" s="1">
        <v>92</v>
      </c>
      <c r="AW60" s="1">
        <v>97</v>
      </c>
      <c r="AX60" s="1">
        <v>98</v>
      </c>
      <c r="AY60" s="1">
        <v>108</v>
      </c>
      <c r="AZ60" s="1">
        <v>109</v>
      </c>
      <c r="BA60" s="1">
        <v>108</v>
      </c>
      <c r="BB60" s="1">
        <v>100</v>
      </c>
      <c r="BC60" s="1">
        <v>109</v>
      </c>
      <c r="BD60" s="1">
        <v>109</v>
      </c>
      <c r="BE60" s="1">
        <v>111</v>
      </c>
      <c r="BF60" s="1">
        <v>101</v>
      </c>
      <c r="BG60" s="1">
        <v>105</v>
      </c>
      <c r="BH60" s="1">
        <v>92</v>
      </c>
      <c r="BI60" s="1">
        <v>44</v>
      </c>
      <c r="BJ60" s="1">
        <v>46</v>
      </c>
      <c r="BK60" s="1">
        <v>18</v>
      </c>
      <c r="BL60" s="10">
        <v>70</v>
      </c>
      <c r="BM60" s="1">
        <v>39</v>
      </c>
      <c r="BN60" s="1">
        <v>109</v>
      </c>
      <c r="BO60" s="1">
        <v>173</v>
      </c>
      <c r="BP60" s="1">
        <v>114</v>
      </c>
      <c r="BQ60" s="1">
        <v>130</v>
      </c>
      <c r="BR60" s="1">
        <v>97</v>
      </c>
      <c r="BS60" s="1">
        <v>81</v>
      </c>
      <c r="BT60" s="1">
        <v>104</v>
      </c>
      <c r="BU60" s="1">
        <v>75</v>
      </c>
      <c r="BV60" s="1">
        <v>124</v>
      </c>
      <c r="BW60" s="1">
        <v>132</v>
      </c>
      <c r="BX60" s="1">
        <v>75</v>
      </c>
      <c r="BY60" s="1">
        <v>77</v>
      </c>
      <c r="BZ60" s="1">
        <v>78</v>
      </c>
      <c r="CA60" s="1">
        <v>84</v>
      </c>
      <c r="CB60" s="1">
        <v>92</v>
      </c>
      <c r="CC60" s="1">
        <v>89</v>
      </c>
      <c r="CD60" s="1">
        <v>108</v>
      </c>
      <c r="CE60" s="11">
        <v>54</v>
      </c>
    </row>
    <row r="61" spans="1:83" ht="17" customHeight="1" x14ac:dyDescent="0.2">
      <c r="A61" s="66"/>
      <c r="C61" s="68"/>
      <c r="D61" s="10">
        <v>0</v>
      </c>
      <c r="E61" s="1">
        <v>0</v>
      </c>
      <c r="F61" s="1">
        <v>26</v>
      </c>
      <c r="G61" s="1">
        <v>73</v>
      </c>
      <c r="H61" s="1">
        <v>63</v>
      </c>
      <c r="I61" s="1">
        <v>71</v>
      </c>
      <c r="J61" s="1">
        <v>69</v>
      </c>
      <c r="K61" s="1">
        <v>78</v>
      </c>
      <c r="L61" s="1">
        <v>72</v>
      </c>
      <c r="M61" s="1">
        <v>76</v>
      </c>
      <c r="N61" s="1">
        <v>65</v>
      </c>
      <c r="O61" s="1">
        <v>69</v>
      </c>
      <c r="P61" s="1">
        <v>70</v>
      </c>
      <c r="Q61" s="1">
        <v>66</v>
      </c>
      <c r="R61" s="1">
        <v>61</v>
      </c>
      <c r="S61" s="1">
        <v>65</v>
      </c>
      <c r="T61" s="1">
        <v>74</v>
      </c>
      <c r="U61" s="1">
        <v>15</v>
      </c>
      <c r="V61" s="1">
        <v>0</v>
      </c>
      <c r="W61" s="11">
        <v>0</v>
      </c>
      <c r="X61" s="10">
        <v>1</v>
      </c>
      <c r="Y61" s="1">
        <v>1</v>
      </c>
      <c r="Z61" s="1">
        <v>0</v>
      </c>
      <c r="AA61" s="1">
        <v>34</v>
      </c>
      <c r="AB61" s="1">
        <v>25</v>
      </c>
      <c r="AC61" s="1">
        <v>78</v>
      </c>
      <c r="AD61" s="1">
        <v>92</v>
      </c>
      <c r="AE61" s="1">
        <v>95</v>
      </c>
      <c r="AF61" s="1">
        <v>77</v>
      </c>
      <c r="AG61" s="1">
        <v>99</v>
      </c>
      <c r="AH61" s="1">
        <v>123</v>
      </c>
      <c r="AI61" s="1">
        <v>87</v>
      </c>
      <c r="AJ61" s="1">
        <v>101</v>
      </c>
      <c r="AK61" s="1">
        <v>127</v>
      </c>
      <c r="AL61" s="1">
        <v>125</v>
      </c>
      <c r="AM61" s="1">
        <v>54</v>
      </c>
      <c r="AN61" s="1">
        <v>74</v>
      </c>
      <c r="AO61" s="1">
        <v>4</v>
      </c>
      <c r="AP61" s="1">
        <v>1</v>
      </c>
      <c r="AQ61" s="11">
        <v>1</v>
      </c>
      <c r="AR61" s="1">
        <v>19</v>
      </c>
      <c r="AS61" s="1">
        <v>25</v>
      </c>
      <c r="AT61" s="1">
        <v>41</v>
      </c>
      <c r="AU61" s="1">
        <v>58</v>
      </c>
      <c r="AV61" s="1">
        <v>100</v>
      </c>
      <c r="AW61" s="1">
        <v>96</v>
      </c>
      <c r="AX61" s="1">
        <v>106</v>
      </c>
      <c r="AY61" s="1">
        <v>121</v>
      </c>
      <c r="AZ61" s="1">
        <v>103</v>
      </c>
      <c r="BA61" s="1">
        <v>89</v>
      </c>
      <c r="BB61" s="1">
        <v>90</v>
      </c>
      <c r="BC61" s="1">
        <v>82</v>
      </c>
      <c r="BD61" s="1">
        <v>111</v>
      </c>
      <c r="BE61" s="1">
        <v>120</v>
      </c>
      <c r="BF61" s="1">
        <v>101</v>
      </c>
      <c r="BG61" s="1">
        <v>98</v>
      </c>
      <c r="BH61" s="1">
        <v>109</v>
      </c>
      <c r="BI61" s="1">
        <v>47</v>
      </c>
      <c r="BJ61" s="1">
        <v>54</v>
      </c>
      <c r="BK61" s="1">
        <v>24</v>
      </c>
      <c r="BL61" s="10">
        <v>62</v>
      </c>
      <c r="BM61" s="1">
        <v>41</v>
      </c>
      <c r="BN61" s="1">
        <v>163</v>
      </c>
      <c r="BO61" s="1">
        <v>197</v>
      </c>
      <c r="BP61" s="1">
        <v>169</v>
      </c>
      <c r="BQ61" s="1">
        <v>107</v>
      </c>
      <c r="BR61" s="1">
        <v>94</v>
      </c>
      <c r="BS61" s="1">
        <v>123</v>
      </c>
      <c r="BT61" s="1">
        <v>146</v>
      </c>
      <c r="BU61" s="1">
        <v>115</v>
      </c>
      <c r="BV61" s="1">
        <v>141</v>
      </c>
      <c r="BW61" s="1">
        <v>111</v>
      </c>
      <c r="BX61" s="1">
        <v>114</v>
      </c>
      <c r="BY61" s="1">
        <v>116</v>
      </c>
      <c r="BZ61" s="1">
        <v>77</v>
      </c>
      <c r="CA61" s="1">
        <v>121</v>
      </c>
      <c r="CB61" s="1">
        <v>108</v>
      </c>
      <c r="CC61" s="1">
        <v>117</v>
      </c>
      <c r="CD61" s="1">
        <v>116</v>
      </c>
      <c r="CE61" s="11">
        <v>41</v>
      </c>
    </row>
    <row r="62" spans="1:83" ht="17" customHeight="1" x14ac:dyDescent="0.2">
      <c r="A62" s="66"/>
      <c r="C62" s="68"/>
      <c r="D62" s="10">
        <v>0</v>
      </c>
      <c r="E62" s="1">
        <v>0</v>
      </c>
      <c r="F62" s="1">
        <v>56</v>
      </c>
      <c r="G62" s="1">
        <v>70</v>
      </c>
      <c r="H62" s="1">
        <v>61</v>
      </c>
      <c r="I62" s="1">
        <v>73</v>
      </c>
      <c r="J62" s="1">
        <v>69</v>
      </c>
      <c r="K62" s="1">
        <v>81</v>
      </c>
      <c r="L62" s="1">
        <v>78</v>
      </c>
      <c r="M62" s="1">
        <v>46</v>
      </c>
      <c r="N62" s="1">
        <v>51</v>
      </c>
      <c r="O62" s="1">
        <v>81</v>
      </c>
      <c r="P62" s="1">
        <v>76</v>
      </c>
      <c r="Q62" s="1">
        <v>57</v>
      </c>
      <c r="R62" s="1">
        <v>59</v>
      </c>
      <c r="S62" s="1">
        <v>54</v>
      </c>
      <c r="T62" s="1">
        <v>93</v>
      </c>
      <c r="U62" s="1">
        <v>43</v>
      </c>
      <c r="V62" s="1">
        <v>0</v>
      </c>
      <c r="W62" s="11">
        <v>0</v>
      </c>
      <c r="X62" s="10">
        <v>1</v>
      </c>
      <c r="Y62" s="1">
        <v>0</v>
      </c>
      <c r="Z62" s="1">
        <v>7</v>
      </c>
      <c r="AA62" s="1">
        <v>35</v>
      </c>
      <c r="AB62" s="1">
        <v>19</v>
      </c>
      <c r="AC62" s="1">
        <v>97</v>
      </c>
      <c r="AD62" s="1">
        <v>116</v>
      </c>
      <c r="AE62" s="1">
        <v>104</v>
      </c>
      <c r="AF62" s="1">
        <v>95</v>
      </c>
      <c r="AG62" s="1">
        <v>108</v>
      </c>
      <c r="AH62" s="1">
        <v>108</v>
      </c>
      <c r="AI62" s="1">
        <v>113</v>
      </c>
      <c r="AJ62" s="1">
        <v>125</v>
      </c>
      <c r="AK62" s="1">
        <v>140</v>
      </c>
      <c r="AL62" s="1">
        <v>135</v>
      </c>
      <c r="AM62" s="1">
        <v>50</v>
      </c>
      <c r="AN62" s="1">
        <v>63</v>
      </c>
      <c r="AO62" s="1">
        <v>22</v>
      </c>
      <c r="AP62" s="1">
        <v>0</v>
      </c>
      <c r="AQ62" s="11">
        <v>1</v>
      </c>
      <c r="AR62" s="1">
        <v>20</v>
      </c>
      <c r="AS62" s="1">
        <v>34</v>
      </c>
      <c r="AT62" s="1">
        <v>37</v>
      </c>
      <c r="AU62" s="1">
        <v>76</v>
      </c>
      <c r="AV62" s="1">
        <v>107</v>
      </c>
      <c r="AW62" s="1">
        <v>104</v>
      </c>
      <c r="AX62" s="1">
        <v>109</v>
      </c>
      <c r="AY62" s="1">
        <v>112</v>
      </c>
      <c r="AZ62" s="1">
        <v>123</v>
      </c>
      <c r="BA62" s="1">
        <v>79</v>
      </c>
      <c r="BB62" s="1">
        <v>89</v>
      </c>
      <c r="BC62" s="1">
        <v>105</v>
      </c>
      <c r="BD62" s="1">
        <v>119</v>
      </c>
      <c r="BE62" s="1">
        <v>111</v>
      </c>
      <c r="BF62" s="1">
        <v>107</v>
      </c>
      <c r="BG62" s="1">
        <v>109</v>
      </c>
      <c r="BH62" s="1">
        <v>110</v>
      </c>
      <c r="BI62" s="1">
        <v>61</v>
      </c>
      <c r="BJ62" s="1">
        <v>48</v>
      </c>
      <c r="BK62" s="1">
        <v>28</v>
      </c>
      <c r="BL62" s="10">
        <v>31</v>
      </c>
      <c r="BM62" s="1">
        <v>100</v>
      </c>
      <c r="BN62" s="1">
        <v>164</v>
      </c>
      <c r="BO62" s="1">
        <v>163</v>
      </c>
      <c r="BP62" s="1">
        <v>130</v>
      </c>
      <c r="BQ62" s="1">
        <v>105</v>
      </c>
      <c r="BR62" s="1">
        <v>113</v>
      </c>
      <c r="BS62" s="1">
        <v>160</v>
      </c>
      <c r="BT62" s="1">
        <v>153</v>
      </c>
      <c r="BU62" s="1">
        <v>149</v>
      </c>
      <c r="BV62" s="1">
        <v>161</v>
      </c>
      <c r="BW62" s="1">
        <v>144</v>
      </c>
      <c r="BX62" s="1">
        <v>158</v>
      </c>
      <c r="BY62" s="1">
        <v>155</v>
      </c>
      <c r="BZ62" s="1">
        <v>99</v>
      </c>
      <c r="CA62" s="1">
        <v>115</v>
      </c>
      <c r="CB62" s="1">
        <v>163</v>
      </c>
      <c r="CC62" s="1">
        <v>206</v>
      </c>
      <c r="CD62" s="1">
        <v>165</v>
      </c>
      <c r="CE62" s="11">
        <v>42</v>
      </c>
    </row>
    <row r="63" spans="1:83" ht="17" customHeight="1" x14ac:dyDescent="0.2">
      <c r="A63" s="66"/>
      <c r="C63" s="68"/>
      <c r="D63" s="10">
        <v>0</v>
      </c>
      <c r="E63" s="1">
        <v>2</v>
      </c>
      <c r="F63" s="1">
        <v>70</v>
      </c>
      <c r="G63" s="1">
        <v>66</v>
      </c>
      <c r="H63" s="1">
        <v>67</v>
      </c>
      <c r="I63" s="1">
        <v>72</v>
      </c>
      <c r="J63" s="1">
        <v>74</v>
      </c>
      <c r="K63" s="1">
        <v>83</v>
      </c>
      <c r="L63" s="1">
        <v>80</v>
      </c>
      <c r="M63" s="1">
        <v>52</v>
      </c>
      <c r="N63" s="1">
        <v>58</v>
      </c>
      <c r="O63" s="1">
        <v>82</v>
      </c>
      <c r="P63" s="1">
        <v>81</v>
      </c>
      <c r="Q63" s="1">
        <v>65</v>
      </c>
      <c r="R63" s="1">
        <v>60</v>
      </c>
      <c r="S63" s="1">
        <v>46</v>
      </c>
      <c r="T63" s="1">
        <v>84</v>
      </c>
      <c r="U63" s="1">
        <v>67</v>
      </c>
      <c r="V63" s="1">
        <v>2</v>
      </c>
      <c r="W63" s="11">
        <v>0</v>
      </c>
      <c r="X63" s="10">
        <v>1</v>
      </c>
      <c r="Y63" s="1">
        <v>0</v>
      </c>
      <c r="Z63" s="1">
        <v>19</v>
      </c>
      <c r="AA63" s="1">
        <v>27</v>
      </c>
      <c r="AB63" s="1">
        <v>50</v>
      </c>
      <c r="AC63" s="1">
        <v>121</v>
      </c>
      <c r="AD63" s="1">
        <v>119</v>
      </c>
      <c r="AE63" s="1">
        <v>104</v>
      </c>
      <c r="AF63" s="1">
        <v>93</v>
      </c>
      <c r="AG63" s="1">
        <v>122</v>
      </c>
      <c r="AH63" s="1">
        <v>137</v>
      </c>
      <c r="AI63" s="1">
        <v>103</v>
      </c>
      <c r="AJ63" s="1">
        <v>119</v>
      </c>
      <c r="AK63" s="1">
        <v>147</v>
      </c>
      <c r="AL63" s="1">
        <v>171</v>
      </c>
      <c r="AM63" s="1">
        <v>95</v>
      </c>
      <c r="AN63" s="1">
        <v>40</v>
      </c>
      <c r="AO63" s="1">
        <v>41</v>
      </c>
      <c r="AP63" s="1">
        <v>0</v>
      </c>
      <c r="AQ63" s="11">
        <v>1</v>
      </c>
      <c r="AR63" s="1">
        <v>24</v>
      </c>
      <c r="AS63" s="1">
        <v>41</v>
      </c>
      <c r="AT63" s="1">
        <v>42</v>
      </c>
      <c r="AU63" s="1">
        <v>102</v>
      </c>
      <c r="AV63" s="1">
        <v>103</v>
      </c>
      <c r="AW63" s="1">
        <v>107</v>
      </c>
      <c r="AX63" s="1">
        <v>116</v>
      </c>
      <c r="AY63" s="1">
        <v>115</v>
      </c>
      <c r="AZ63" s="1">
        <v>122</v>
      </c>
      <c r="BA63" s="1">
        <v>82</v>
      </c>
      <c r="BB63" s="1">
        <v>69</v>
      </c>
      <c r="BC63" s="1">
        <v>117</v>
      </c>
      <c r="BD63" s="1">
        <v>122</v>
      </c>
      <c r="BE63" s="1">
        <v>132</v>
      </c>
      <c r="BF63" s="1">
        <v>121</v>
      </c>
      <c r="BG63" s="1">
        <v>108</v>
      </c>
      <c r="BH63" s="1">
        <v>111</v>
      </c>
      <c r="BI63" s="1">
        <v>76</v>
      </c>
      <c r="BJ63" s="1">
        <v>41</v>
      </c>
      <c r="BK63" s="1">
        <v>34</v>
      </c>
      <c r="BL63" s="10">
        <v>65</v>
      </c>
      <c r="BM63" s="1">
        <v>111</v>
      </c>
      <c r="BN63" s="1">
        <v>116</v>
      </c>
      <c r="BO63" s="1">
        <v>182</v>
      </c>
      <c r="BP63" s="1">
        <v>129</v>
      </c>
      <c r="BQ63" s="1">
        <v>114</v>
      </c>
      <c r="BR63" s="1">
        <v>139</v>
      </c>
      <c r="BS63" s="1">
        <v>126</v>
      </c>
      <c r="BT63" s="1">
        <v>111</v>
      </c>
      <c r="BU63" s="1">
        <v>136</v>
      </c>
      <c r="BV63" s="1">
        <v>182</v>
      </c>
      <c r="BW63" s="1">
        <v>141</v>
      </c>
      <c r="BX63" s="1">
        <v>137</v>
      </c>
      <c r="BY63" s="1">
        <v>144</v>
      </c>
      <c r="BZ63" s="1">
        <v>106</v>
      </c>
      <c r="CA63" s="1">
        <v>97</v>
      </c>
      <c r="CB63" s="1">
        <v>145</v>
      </c>
      <c r="CC63" s="1">
        <v>145</v>
      </c>
      <c r="CD63" s="1">
        <v>162</v>
      </c>
      <c r="CE63" s="11">
        <v>49</v>
      </c>
    </row>
    <row r="64" spans="1:83" ht="17" customHeight="1" x14ac:dyDescent="0.2">
      <c r="A64" s="66"/>
      <c r="C64" s="68"/>
      <c r="D64" s="10">
        <v>0</v>
      </c>
      <c r="E64" s="1">
        <v>5</v>
      </c>
      <c r="F64" s="1">
        <v>68</v>
      </c>
      <c r="G64" s="1">
        <v>69</v>
      </c>
      <c r="H64" s="1">
        <v>70</v>
      </c>
      <c r="I64" s="1">
        <v>67</v>
      </c>
      <c r="J64" s="1">
        <v>75</v>
      </c>
      <c r="K64" s="1">
        <v>83</v>
      </c>
      <c r="L64" s="1">
        <v>80</v>
      </c>
      <c r="M64" s="1">
        <v>71</v>
      </c>
      <c r="N64" s="1">
        <v>71</v>
      </c>
      <c r="O64" s="1">
        <v>79</v>
      </c>
      <c r="P64" s="1">
        <v>83</v>
      </c>
      <c r="Q64" s="1">
        <v>67</v>
      </c>
      <c r="R64" s="1">
        <v>53</v>
      </c>
      <c r="S64" s="1">
        <v>57</v>
      </c>
      <c r="T64" s="1">
        <v>63</v>
      </c>
      <c r="U64" s="1">
        <v>78</v>
      </c>
      <c r="V64" s="1">
        <v>10</v>
      </c>
      <c r="W64" s="11">
        <v>0</v>
      </c>
      <c r="X64" s="10">
        <v>1</v>
      </c>
      <c r="Y64" s="1">
        <v>0</v>
      </c>
      <c r="Z64" s="1">
        <v>35</v>
      </c>
      <c r="AA64" s="1">
        <v>31</v>
      </c>
      <c r="AB64" s="1">
        <v>90</v>
      </c>
      <c r="AC64" s="1">
        <v>128</v>
      </c>
      <c r="AD64" s="1">
        <v>125</v>
      </c>
      <c r="AE64" s="1">
        <v>94</v>
      </c>
      <c r="AF64" s="1">
        <v>70</v>
      </c>
      <c r="AG64" s="1">
        <v>106</v>
      </c>
      <c r="AH64" s="1">
        <v>126</v>
      </c>
      <c r="AI64" s="1">
        <v>86</v>
      </c>
      <c r="AJ64" s="1">
        <v>100</v>
      </c>
      <c r="AK64" s="1">
        <v>133</v>
      </c>
      <c r="AL64" s="1">
        <v>160</v>
      </c>
      <c r="AM64" s="1">
        <v>127</v>
      </c>
      <c r="AN64" s="1">
        <v>32</v>
      </c>
      <c r="AO64" s="1">
        <v>50</v>
      </c>
      <c r="AP64" s="1">
        <v>0</v>
      </c>
      <c r="AQ64" s="11">
        <v>1</v>
      </c>
      <c r="AR64" s="1">
        <v>29</v>
      </c>
      <c r="AS64" s="1">
        <v>38</v>
      </c>
      <c r="AT64" s="1">
        <v>69</v>
      </c>
      <c r="AU64" s="1">
        <v>106</v>
      </c>
      <c r="AV64" s="1">
        <v>101</v>
      </c>
      <c r="AW64" s="1">
        <v>111</v>
      </c>
      <c r="AX64" s="1">
        <v>115</v>
      </c>
      <c r="AY64" s="1">
        <v>114</v>
      </c>
      <c r="AZ64" s="1">
        <v>115</v>
      </c>
      <c r="BA64" s="1">
        <v>109</v>
      </c>
      <c r="BB64" s="1">
        <v>99</v>
      </c>
      <c r="BC64" s="1">
        <v>114</v>
      </c>
      <c r="BD64" s="1">
        <v>120</v>
      </c>
      <c r="BE64" s="1">
        <v>142</v>
      </c>
      <c r="BF64" s="1">
        <v>122</v>
      </c>
      <c r="BG64" s="1">
        <v>100</v>
      </c>
      <c r="BH64" s="1">
        <v>109</v>
      </c>
      <c r="BI64" s="1">
        <v>107</v>
      </c>
      <c r="BJ64" s="1">
        <v>44</v>
      </c>
      <c r="BK64" s="1">
        <v>38</v>
      </c>
      <c r="BL64" s="10">
        <v>104</v>
      </c>
      <c r="BM64" s="1">
        <v>121</v>
      </c>
      <c r="BN64" s="1">
        <v>83</v>
      </c>
      <c r="BO64" s="1">
        <v>141</v>
      </c>
      <c r="BP64" s="1">
        <v>129</v>
      </c>
      <c r="BQ64" s="1">
        <v>122</v>
      </c>
      <c r="BR64" s="1">
        <v>162</v>
      </c>
      <c r="BS64" s="1">
        <v>119</v>
      </c>
      <c r="BT64" s="1">
        <v>86</v>
      </c>
      <c r="BU64" s="1">
        <v>134</v>
      </c>
      <c r="BV64" s="1">
        <v>201</v>
      </c>
      <c r="BW64" s="1">
        <v>93</v>
      </c>
      <c r="BX64" s="1">
        <v>90</v>
      </c>
      <c r="BY64" s="1">
        <v>131</v>
      </c>
      <c r="BZ64" s="1">
        <v>124</v>
      </c>
      <c r="CA64" s="1">
        <v>103</v>
      </c>
      <c r="CB64" s="1">
        <v>139</v>
      </c>
      <c r="CC64" s="1">
        <v>117</v>
      </c>
      <c r="CD64" s="1">
        <v>99</v>
      </c>
      <c r="CE64" s="11">
        <v>59</v>
      </c>
    </row>
    <row r="65" spans="1:83" ht="17" customHeight="1" x14ac:dyDescent="0.2">
      <c r="A65" s="66"/>
      <c r="C65" s="68"/>
      <c r="D65" s="10">
        <v>0</v>
      </c>
      <c r="E65" s="1">
        <v>9</v>
      </c>
      <c r="F65" s="1">
        <v>83</v>
      </c>
      <c r="G65" s="1">
        <v>62</v>
      </c>
      <c r="H65" s="1">
        <v>63</v>
      </c>
      <c r="I65" s="1">
        <v>59</v>
      </c>
      <c r="J65" s="1">
        <v>73</v>
      </c>
      <c r="K65" s="1">
        <v>78</v>
      </c>
      <c r="L65" s="1">
        <v>78</v>
      </c>
      <c r="M65" s="1">
        <v>67</v>
      </c>
      <c r="N65" s="1">
        <v>68</v>
      </c>
      <c r="O65" s="1">
        <v>76</v>
      </c>
      <c r="P65" s="1">
        <v>79</v>
      </c>
      <c r="Q65" s="1">
        <v>64</v>
      </c>
      <c r="R65" s="1">
        <v>65</v>
      </c>
      <c r="S65" s="1">
        <v>53</v>
      </c>
      <c r="T65" s="1">
        <v>58</v>
      </c>
      <c r="U65" s="1">
        <v>89</v>
      </c>
      <c r="V65" s="1">
        <v>17</v>
      </c>
      <c r="W65" s="11">
        <v>0</v>
      </c>
      <c r="X65" s="10">
        <v>1</v>
      </c>
      <c r="Y65" s="1">
        <v>0</v>
      </c>
      <c r="Z65" s="1">
        <v>45</v>
      </c>
      <c r="AA65" s="1">
        <v>45</v>
      </c>
      <c r="AB65" s="1">
        <v>97</v>
      </c>
      <c r="AC65" s="1">
        <v>113</v>
      </c>
      <c r="AD65" s="1">
        <v>128</v>
      </c>
      <c r="AE65" s="1">
        <v>89</v>
      </c>
      <c r="AF65" s="1">
        <v>72</v>
      </c>
      <c r="AG65" s="1">
        <v>102</v>
      </c>
      <c r="AH65" s="1">
        <v>111</v>
      </c>
      <c r="AI65" s="1">
        <v>72</v>
      </c>
      <c r="AJ65" s="1">
        <v>85</v>
      </c>
      <c r="AK65" s="1">
        <v>129</v>
      </c>
      <c r="AL65" s="1">
        <v>126</v>
      </c>
      <c r="AM65" s="1">
        <v>107</v>
      </c>
      <c r="AN65" s="1">
        <v>44</v>
      </c>
      <c r="AO65" s="1">
        <v>51</v>
      </c>
      <c r="AP65" s="1">
        <v>1</v>
      </c>
      <c r="AQ65" s="11">
        <v>1</v>
      </c>
      <c r="AR65" s="1">
        <v>33</v>
      </c>
      <c r="AS65" s="1">
        <v>39</v>
      </c>
      <c r="AT65" s="1">
        <v>89</v>
      </c>
      <c r="AU65" s="1">
        <v>108</v>
      </c>
      <c r="AV65" s="1">
        <v>100</v>
      </c>
      <c r="AW65" s="1">
        <v>99</v>
      </c>
      <c r="AX65" s="1">
        <v>113</v>
      </c>
      <c r="AY65" s="1">
        <v>122</v>
      </c>
      <c r="AZ65" s="1">
        <v>134</v>
      </c>
      <c r="BA65" s="1">
        <v>129</v>
      </c>
      <c r="BB65" s="1">
        <v>100</v>
      </c>
      <c r="BC65" s="1">
        <v>138</v>
      </c>
      <c r="BD65" s="1">
        <v>137</v>
      </c>
      <c r="BE65" s="1">
        <v>122</v>
      </c>
      <c r="BF65" s="1">
        <v>100</v>
      </c>
      <c r="BG65" s="1">
        <v>88</v>
      </c>
      <c r="BH65" s="1">
        <v>109</v>
      </c>
      <c r="BI65" s="1">
        <v>108</v>
      </c>
      <c r="BJ65" s="1">
        <v>47</v>
      </c>
      <c r="BK65" s="1">
        <v>39</v>
      </c>
      <c r="BL65" s="10">
        <v>106</v>
      </c>
      <c r="BM65" s="1">
        <v>93</v>
      </c>
      <c r="BN65" s="1">
        <v>91</v>
      </c>
      <c r="BO65" s="1">
        <v>91</v>
      </c>
      <c r="BP65" s="1">
        <v>109</v>
      </c>
      <c r="BQ65" s="1">
        <v>118</v>
      </c>
      <c r="BR65" s="1">
        <v>116</v>
      </c>
      <c r="BS65" s="1">
        <v>93</v>
      </c>
      <c r="BT65" s="1">
        <v>91</v>
      </c>
      <c r="BU65" s="1">
        <v>120</v>
      </c>
      <c r="BV65" s="1">
        <v>148</v>
      </c>
      <c r="BW65" s="1">
        <v>83</v>
      </c>
      <c r="BX65" s="1">
        <v>83</v>
      </c>
      <c r="BY65" s="1">
        <v>148</v>
      </c>
      <c r="BZ65" s="1">
        <v>136</v>
      </c>
      <c r="CA65" s="1">
        <v>109</v>
      </c>
      <c r="CB65" s="1">
        <v>131</v>
      </c>
      <c r="CC65" s="1">
        <v>94</v>
      </c>
      <c r="CD65" s="1">
        <v>104</v>
      </c>
      <c r="CE65" s="11">
        <v>72</v>
      </c>
    </row>
    <row r="66" spans="1:83" ht="17" customHeight="1" x14ac:dyDescent="0.2">
      <c r="A66" s="66"/>
      <c r="C66" s="68"/>
      <c r="D66" s="10">
        <v>0</v>
      </c>
      <c r="E66" s="1">
        <v>8</v>
      </c>
      <c r="F66" s="1">
        <v>88</v>
      </c>
      <c r="G66" s="1">
        <v>66</v>
      </c>
      <c r="H66" s="1">
        <v>66</v>
      </c>
      <c r="I66" s="1">
        <v>64</v>
      </c>
      <c r="J66" s="1">
        <v>72</v>
      </c>
      <c r="K66" s="1">
        <v>78</v>
      </c>
      <c r="L66" s="1">
        <v>74</v>
      </c>
      <c r="M66" s="1">
        <v>62</v>
      </c>
      <c r="N66" s="1">
        <v>62</v>
      </c>
      <c r="O66" s="1">
        <v>72</v>
      </c>
      <c r="P66" s="1">
        <v>78</v>
      </c>
      <c r="Q66" s="1">
        <v>72</v>
      </c>
      <c r="R66" s="1">
        <v>57</v>
      </c>
      <c r="S66" s="1">
        <v>57</v>
      </c>
      <c r="T66" s="1">
        <v>52</v>
      </c>
      <c r="U66" s="1">
        <v>85</v>
      </c>
      <c r="V66" s="1">
        <v>12</v>
      </c>
      <c r="W66" s="11">
        <v>0</v>
      </c>
      <c r="X66" s="10">
        <v>1</v>
      </c>
      <c r="Y66" s="1">
        <v>1</v>
      </c>
      <c r="Z66" s="1">
        <v>53</v>
      </c>
      <c r="AA66" s="1">
        <v>65</v>
      </c>
      <c r="AB66" s="1">
        <v>100</v>
      </c>
      <c r="AC66" s="1">
        <v>94</v>
      </c>
      <c r="AD66" s="1">
        <v>116</v>
      </c>
      <c r="AE66" s="1">
        <v>97</v>
      </c>
      <c r="AF66" s="1">
        <v>98</v>
      </c>
      <c r="AG66" s="1">
        <v>121</v>
      </c>
      <c r="AH66" s="1">
        <v>121</v>
      </c>
      <c r="AI66" s="1">
        <v>92</v>
      </c>
      <c r="AJ66" s="1">
        <v>93</v>
      </c>
      <c r="AK66" s="1">
        <v>119</v>
      </c>
      <c r="AL66" s="1">
        <v>106</v>
      </c>
      <c r="AM66" s="1">
        <v>94</v>
      </c>
      <c r="AN66" s="1">
        <v>59</v>
      </c>
      <c r="AO66" s="1">
        <v>48</v>
      </c>
      <c r="AP66" s="1">
        <v>3</v>
      </c>
      <c r="AQ66" s="11">
        <v>1</v>
      </c>
      <c r="AR66" s="1">
        <v>34</v>
      </c>
      <c r="AS66" s="1">
        <v>44</v>
      </c>
      <c r="AT66" s="1">
        <v>101</v>
      </c>
      <c r="AU66" s="1">
        <v>98</v>
      </c>
      <c r="AV66" s="1">
        <v>96</v>
      </c>
      <c r="AW66" s="1">
        <v>80</v>
      </c>
      <c r="AX66" s="1">
        <v>95</v>
      </c>
      <c r="AY66" s="1">
        <v>117</v>
      </c>
      <c r="AZ66" s="1">
        <v>137</v>
      </c>
      <c r="BA66" s="1">
        <v>117</v>
      </c>
      <c r="BB66" s="1">
        <v>85</v>
      </c>
      <c r="BC66" s="1">
        <v>118</v>
      </c>
      <c r="BD66" s="1">
        <v>132</v>
      </c>
      <c r="BE66" s="1">
        <v>120</v>
      </c>
      <c r="BF66" s="1">
        <v>91</v>
      </c>
      <c r="BG66" s="1">
        <v>97</v>
      </c>
      <c r="BH66" s="1">
        <v>101</v>
      </c>
      <c r="BI66" s="1">
        <v>104</v>
      </c>
      <c r="BJ66" s="1">
        <v>47</v>
      </c>
      <c r="BK66" s="1">
        <v>40</v>
      </c>
      <c r="BL66" s="10">
        <v>111</v>
      </c>
      <c r="BM66" s="1">
        <v>102</v>
      </c>
      <c r="BN66" s="1">
        <v>98</v>
      </c>
      <c r="BO66" s="1">
        <v>104</v>
      </c>
      <c r="BP66" s="1">
        <v>81</v>
      </c>
      <c r="BQ66" s="1">
        <v>103</v>
      </c>
      <c r="BR66" s="1">
        <v>92</v>
      </c>
      <c r="BS66" s="1">
        <v>105</v>
      </c>
      <c r="BT66" s="1">
        <v>102</v>
      </c>
      <c r="BU66" s="1">
        <v>111</v>
      </c>
      <c r="BV66" s="1">
        <v>110</v>
      </c>
      <c r="BW66" s="1">
        <v>94</v>
      </c>
      <c r="BX66" s="1">
        <v>86</v>
      </c>
      <c r="BY66" s="1">
        <v>92</v>
      </c>
      <c r="BZ66" s="1">
        <v>109</v>
      </c>
      <c r="CA66" s="1">
        <v>103</v>
      </c>
      <c r="CB66" s="1">
        <v>104</v>
      </c>
      <c r="CC66" s="1">
        <v>121</v>
      </c>
      <c r="CD66" s="1">
        <v>136</v>
      </c>
      <c r="CE66" s="11">
        <v>102</v>
      </c>
    </row>
    <row r="67" spans="1:83" ht="17" customHeight="1" x14ac:dyDescent="0.2">
      <c r="A67" s="66"/>
      <c r="C67" s="68"/>
      <c r="D67" s="10">
        <v>0</v>
      </c>
      <c r="E67" s="1">
        <v>3</v>
      </c>
      <c r="F67" s="1">
        <v>83</v>
      </c>
      <c r="G67" s="1">
        <v>75</v>
      </c>
      <c r="H67" s="1">
        <v>68</v>
      </c>
      <c r="I67" s="1">
        <v>74</v>
      </c>
      <c r="J67" s="1">
        <v>76</v>
      </c>
      <c r="K67" s="1">
        <v>61</v>
      </c>
      <c r="L67" s="1">
        <v>71</v>
      </c>
      <c r="M67" s="1">
        <v>68</v>
      </c>
      <c r="N67" s="1">
        <v>68</v>
      </c>
      <c r="O67" s="1">
        <v>66</v>
      </c>
      <c r="P67" s="1">
        <v>54</v>
      </c>
      <c r="Q67" s="1">
        <v>74</v>
      </c>
      <c r="R67" s="1">
        <v>67</v>
      </c>
      <c r="S67" s="1">
        <v>64</v>
      </c>
      <c r="T67" s="1">
        <v>60</v>
      </c>
      <c r="U67" s="1">
        <v>80</v>
      </c>
      <c r="V67" s="1">
        <v>2</v>
      </c>
      <c r="W67" s="11">
        <v>0</v>
      </c>
      <c r="X67" s="10">
        <v>1</v>
      </c>
      <c r="Y67" s="1">
        <v>1</v>
      </c>
      <c r="Z67" s="1">
        <v>63</v>
      </c>
      <c r="AA67" s="1">
        <v>77</v>
      </c>
      <c r="AB67" s="1">
        <v>110</v>
      </c>
      <c r="AC67" s="1">
        <v>106</v>
      </c>
      <c r="AD67" s="1">
        <v>96</v>
      </c>
      <c r="AE67" s="1">
        <v>115</v>
      </c>
      <c r="AF67" s="1">
        <v>124</v>
      </c>
      <c r="AG67" s="1">
        <v>124</v>
      </c>
      <c r="AH67" s="1">
        <v>122</v>
      </c>
      <c r="AI67" s="1">
        <v>106</v>
      </c>
      <c r="AJ67" s="1">
        <v>94</v>
      </c>
      <c r="AK67" s="1">
        <v>91</v>
      </c>
      <c r="AL67" s="1">
        <v>90</v>
      </c>
      <c r="AM67" s="1">
        <v>83</v>
      </c>
      <c r="AN67" s="1">
        <v>59</v>
      </c>
      <c r="AO67" s="1">
        <v>51</v>
      </c>
      <c r="AP67" s="1">
        <v>4</v>
      </c>
      <c r="AQ67" s="11">
        <v>1</v>
      </c>
      <c r="AR67" s="1">
        <v>30</v>
      </c>
      <c r="AS67" s="1">
        <v>43</v>
      </c>
      <c r="AT67" s="1">
        <v>106</v>
      </c>
      <c r="AU67" s="1">
        <v>100</v>
      </c>
      <c r="AV67" s="1">
        <v>120</v>
      </c>
      <c r="AW67" s="1">
        <v>127</v>
      </c>
      <c r="AX67" s="1">
        <v>112</v>
      </c>
      <c r="AY67" s="1">
        <v>104</v>
      </c>
      <c r="AZ67" s="1">
        <v>106</v>
      </c>
      <c r="BA67" s="1">
        <v>95</v>
      </c>
      <c r="BB67" s="1">
        <v>97</v>
      </c>
      <c r="BC67" s="1">
        <v>104</v>
      </c>
      <c r="BD67" s="1">
        <v>113</v>
      </c>
      <c r="BE67" s="1">
        <v>150</v>
      </c>
      <c r="BF67" s="1">
        <v>138</v>
      </c>
      <c r="BG67" s="1">
        <v>114</v>
      </c>
      <c r="BH67" s="1">
        <v>105</v>
      </c>
      <c r="BI67" s="1">
        <v>101</v>
      </c>
      <c r="BJ67" s="1">
        <v>48</v>
      </c>
      <c r="BK67" s="1">
        <v>42</v>
      </c>
      <c r="BL67" s="10">
        <v>117</v>
      </c>
      <c r="BM67" s="1">
        <v>125</v>
      </c>
      <c r="BN67" s="1">
        <v>116</v>
      </c>
      <c r="BO67" s="1">
        <v>103</v>
      </c>
      <c r="BP67" s="1">
        <v>103</v>
      </c>
      <c r="BQ67" s="1">
        <v>211</v>
      </c>
      <c r="BR67" s="1">
        <v>148</v>
      </c>
      <c r="BS67" s="1">
        <v>124</v>
      </c>
      <c r="BT67" s="1">
        <v>157</v>
      </c>
      <c r="BU67" s="1">
        <v>188</v>
      </c>
      <c r="BV67" s="1">
        <v>178</v>
      </c>
      <c r="BW67" s="1">
        <v>154</v>
      </c>
      <c r="BX67" s="1">
        <v>137</v>
      </c>
      <c r="BY67" s="1">
        <v>117</v>
      </c>
      <c r="BZ67" s="1">
        <v>114</v>
      </c>
      <c r="CA67" s="1">
        <v>77</v>
      </c>
      <c r="CB67" s="1">
        <v>97</v>
      </c>
      <c r="CC67" s="1">
        <v>108</v>
      </c>
      <c r="CD67" s="1">
        <v>103</v>
      </c>
      <c r="CE67" s="11">
        <v>93</v>
      </c>
    </row>
    <row r="68" spans="1:83" ht="17" customHeight="1" x14ac:dyDescent="0.2">
      <c r="A68" s="66"/>
      <c r="C68" s="68"/>
      <c r="D68" s="10">
        <v>0</v>
      </c>
      <c r="E68" s="1">
        <v>0</v>
      </c>
      <c r="F68" s="1">
        <v>65</v>
      </c>
      <c r="G68" s="1">
        <v>80</v>
      </c>
      <c r="H68" s="1">
        <v>64</v>
      </c>
      <c r="I68" s="1">
        <v>73</v>
      </c>
      <c r="J68" s="1">
        <v>75</v>
      </c>
      <c r="K68" s="1">
        <v>63</v>
      </c>
      <c r="L68" s="1">
        <v>73</v>
      </c>
      <c r="M68" s="1">
        <v>63</v>
      </c>
      <c r="N68" s="1">
        <v>63</v>
      </c>
      <c r="O68" s="1">
        <v>75</v>
      </c>
      <c r="P68" s="1">
        <v>56</v>
      </c>
      <c r="Q68" s="1">
        <v>72</v>
      </c>
      <c r="R68" s="1">
        <v>67</v>
      </c>
      <c r="S68" s="1">
        <v>55</v>
      </c>
      <c r="T68" s="1">
        <v>89</v>
      </c>
      <c r="U68" s="1">
        <v>65</v>
      </c>
      <c r="V68" s="1">
        <v>0</v>
      </c>
      <c r="W68" s="11">
        <v>0</v>
      </c>
      <c r="X68" s="10">
        <v>1</v>
      </c>
      <c r="Y68" s="1">
        <v>0</v>
      </c>
      <c r="Z68" s="1">
        <v>67</v>
      </c>
      <c r="AA68" s="1">
        <v>81</v>
      </c>
      <c r="AB68" s="1">
        <v>130</v>
      </c>
      <c r="AC68" s="1">
        <v>115</v>
      </c>
      <c r="AD68" s="1">
        <v>103</v>
      </c>
      <c r="AE68" s="1">
        <v>170</v>
      </c>
      <c r="AF68" s="1">
        <v>133</v>
      </c>
      <c r="AG68" s="1">
        <v>100</v>
      </c>
      <c r="AH68" s="1">
        <v>83</v>
      </c>
      <c r="AI68" s="1">
        <v>111</v>
      </c>
      <c r="AJ68" s="1">
        <v>143</v>
      </c>
      <c r="AK68" s="1">
        <v>82</v>
      </c>
      <c r="AL68" s="1">
        <v>84</v>
      </c>
      <c r="AM68" s="1">
        <v>84</v>
      </c>
      <c r="AN68" s="1">
        <v>53</v>
      </c>
      <c r="AO68" s="1">
        <v>48</v>
      </c>
      <c r="AP68" s="1">
        <v>1</v>
      </c>
      <c r="AQ68" s="11">
        <v>1</v>
      </c>
      <c r="AR68" s="1">
        <v>27</v>
      </c>
      <c r="AS68" s="1">
        <v>39</v>
      </c>
      <c r="AT68" s="1">
        <v>102</v>
      </c>
      <c r="AU68" s="1">
        <v>102</v>
      </c>
      <c r="AV68" s="1">
        <v>118</v>
      </c>
      <c r="AW68" s="1">
        <v>160</v>
      </c>
      <c r="AX68" s="1">
        <v>165</v>
      </c>
      <c r="AY68" s="1">
        <v>110</v>
      </c>
      <c r="AZ68" s="1">
        <v>103</v>
      </c>
      <c r="BA68" s="1">
        <v>94</v>
      </c>
      <c r="BB68" s="1">
        <v>99</v>
      </c>
      <c r="BC68" s="1">
        <v>114</v>
      </c>
      <c r="BD68" s="1">
        <v>113</v>
      </c>
      <c r="BE68" s="1">
        <v>166</v>
      </c>
      <c r="BF68" s="1">
        <v>166</v>
      </c>
      <c r="BG68" s="1">
        <v>138</v>
      </c>
      <c r="BH68" s="1">
        <v>108</v>
      </c>
      <c r="BI68" s="1">
        <v>103</v>
      </c>
      <c r="BJ68" s="1">
        <v>44</v>
      </c>
      <c r="BK68" s="1">
        <v>38</v>
      </c>
      <c r="BL68" s="10">
        <v>86</v>
      </c>
      <c r="BM68" s="1">
        <v>120</v>
      </c>
      <c r="BN68" s="1">
        <v>90</v>
      </c>
      <c r="BO68" s="1">
        <v>76</v>
      </c>
      <c r="BP68" s="1">
        <v>100</v>
      </c>
      <c r="BQ68" s="1">
        <v>192</v>
      </c>
      <c r="BR68" s="1">
        <v>142</v>
      </c>
      <c r="BS68" s="1">
        <v>100</v>
      </c>
      <c r="BT68" s="1">
        <v>135</v>
      </c>
      <c r="BU68" s="1">
        <v>183</v>
      </c>
      <c r="BV68" s="1">
        <v>188</v>
      </c>
      <c r="BW68" s="1">
        <v>122</v>
      </c>
      <c r="BX68" s="1">
        <v>107</v>
      </c>
      <c r="BY68" s="1">
        <v>179</v>
      </c>
      <c r="BZ68" s="1">
        <v>211</v>
      </c>
      <c r="CA68" s="1">
        <v>90</v>
      </c>
      <c r="CB68" s="1">
        <v>106</v>
      </c>
      <c r="CC68" s="1">
        <v>120</v>
      </c>
      <c r="CD68" s="1">
        <v>114</v>
      </c>
      <c r="CE68" s="11">
        <v>70</v>
      </c>
    </row>
    <row r="69" spans="1:83" ht="17" customHeight="1" x14ac:dyDescent="0.2">
      <c r="A69" s="66"/>
      <c r="C69" s="68"/>
      <c r="D69" s="10">
        <v>0</v>
      </c>
      <c r="E69" s="1">
        <v>1</v>
      </c>
      <c r="F69" s="1">
        <v>24</v>
      </c>
      <c r="G69" s="1">
        <v>102</v>
      </c>
      <c r="H69" s="1">
        <v>80</v>
      </c>
      <c r="I69" s="1">
        <v>64</v>
      </c>
      <c r="J69" s="1">
        <v>72</v>
      </c>
      <c r="K69" s="1">
        <v>75</v>
      </c>
      <c r="L69" s="1">
        <v>71</v>
      </c>
      <c r="M69" s="1">
        <v>65</v>
      </c>
      <c r="N69" s="1">
        <v>67</v>
      </c>
      <c r="O69" s="1">
        <v>68</v>
      </c>
      <c r="P69" s="1">
        <v>74</v>
      </c>
      <c r="Q69" s="1">
        <v>71</v>
      </c>
      <c r="R69" s="1">
        <v>56</v>
      </c>
      <c r="S69" s="1">
        <v>59</v>
      </c>
      <c r="T69" s="1">
        <v>110</v>
      </c>
      <c r="U69" s="1">
        <v>28</v>
      </c>
      <c r="V69" s="1">
        <v>0</v>
      </c>
      <c r="W69" s="11">
        <v>0</v>
      </c>
      <c r="X69" s="10">
        <v>1</v>
      </c>
      <c r="Y69" s="1">
        <v>0</v>
      </c>
      <c r="Z69" s="1">
        <v>59</v>
      </c>
      <c r="AA69" s="1">
        <v>82</v>
      </c>
      <c r="AB69" s="1">
        <v>126</v>
      </c>
      <c r="AC69" s="1">
        <v>120</v>
      </c>
      <c r="AD69" s="1">
        <v>107</v>
      </c>
      <c r="AE69" s="1">
        <v>123</v>
      </c>
      <c r="AF69" s="1">
        <v>130</v>
      </c>
      <c r="AG69" s="1">
        <v>116</v>
      </c>
      <c r="AH69" s="1">
        <v>98</v>
      </c>
      <c r="AI69" s="1">
        <v>94</v>
      </c>
      <c r="AJ69" s="1">
        <v>107</v>
      </c>
      <c r="AK69" s="1">
        <v>81</v>
      </c>
      <c r="AL69" s="1">
        <v>92</v>
      </c>
      <c r="AM69" s="1">
        <v>81</v>
      </c>
      <c r="AN69" s="1">
        <v>44</v>
      </c>
      <c r="AO69" s="1">
        <v>39</v>
      </c>
      <c r="AP69" s="1">
        <v>0</v>
      </c>
      <c r="AQ69" s="11">
        <v>1</v>
      </c>
      <c r="AR69" s="1">
        <v>23</v>
      </c>
      <c r="AS69" s="1">
        <v>36</v>
      </c>
      <c r="AT69" s="1">
        <v>79</v>
      </c>
      <c r="AU69" s="1">
        <v>111</v>
      </c>
      <c r="AV69" s="1">
        <v>107</v>
      </c>
      <c r="AW69" s="1">
        <v>158</v>
      </c>
      <c r="AX69" s="1">
        <v>161</v>
      </c>
      <c r="AY69" s="1">
        <v>114</v>
      </c>
      <c r="AZ69" s="1">
        <v>109</v>
      </c>
      <c r="BA69" s="1">
        <v>106</v>
      </c>
      <c r="BB69" s="1">
        <v>111</v>
      </c>
      <c r="BC69" s="1">
        <v>117</v>
      </c>
      <c r="BD69" s="1">
        <v>123</v>
      </c>
      <c r="BE69" s="1">
        <v>165</v>
      </c>
      <c r="BF69" s="1">
        <v>126</v>
      </c>
      <c r="BG69" s="1">
        <v>103</v>
      </c>
      <c r="BH69" s="1">
        <v>108</v>
      </c>
      <c r="BI69" s="1">
        <v>82</v>
      </c>
      <c r="BJ69" s="1">
        <v>42</v>
      </c>
      <c r="BK69" s="1">
        <v>27</v>
      </c>
      <c r="BL69" s="10">
        <v>57</v>
      </c>
      <c r="BM69" s="1">
        <v>128</v>
      </c>
      <c r="BN69" s="1">
        <v>119</v>
      </c>
      <c r="BO69" s="1">
        <v>95</v>
      </c>
      <c r="BP69" s="1">
        <v>81</v>
      </c>
      <c r="BQ69" s="1">
        <v>122</v>
      </c>
      <c r="BR69" s="1">
        <v>114</v>
      </c>
      <c r="BS69" s="1">
        <v>94</v>
      </c>
      <c r="BT69" s="1">
        <v>107</v>
      </c>
      <c r="BU69" s="1">
        <v>139</v>
      </c>
      <c r="BV69" s="1">
        <v>127</v>
      </c>
      <c r="BW69" s="1">
        <v>105</v>
      </c>
      <c r="BX69" s="1">
        <v>96</v>
      </c>
      <c r="BY69" s="1">
        <v>173</v>
      </c>
      <c r="BZ69" s="1">
        <v>153</v>
      </c>
      <c r="CA69" s="1">
        <v>81</v>
      </c>
      <c r="CB69" s="1">
        <v>92</v>
      </c>
      <c r="CC69" s="1">
        <v>115</v>
      </c>
      <c r="CD69" s="1">
        <v>123</v>
      </c>
      <c r="CE69" s="11">
        <v>52</v>
      </c>
    </row>
    <row r="70" spans="1:83" ht="17" customHeight="1" x14ac:dyDescent="0.2">
      <c r="A70" s="66"/>
      <c r="C70" s="68"/>
      <c r="D70" s="10">
        <v>0</v>
      </c>
      <c r="E70" s="1">
        <v>2</v>
      </c>
      <c r="F70" s="1">
        <v>0</v>
      </c>
      <c r="G70" s="1">
        <v>69</v>
      </c>
      <c r="H70" s="1">
        <v>106</v>
      </c>
      <c r="I70" s="1">
        <v>68</v>
      </c>
      <c r="J70" s="1">
        <v>72</v>
      </c>
      <c r="K70" s="1">
        <v>75</v>
      </c>
      <c r="L70" s="1">
        <v>72</v>
      </c>
      <c r="M70" s="1">
        <v>69</v>
      </c>
      <c r="N70" s="1">
        <v>68</v>
      </c>
      <c r="O70" s="1">
        <v>70</v>
      </c>
      <c r="P70" s="1">
        <v>74</v>
      </c>
      <c r="Q70" s="1">
        <v>68</v>
      </c>
      <c r="R70" s="1">
        <v>61</v>
      </c>
      <c r="S70" s="1">
        <v>83</v>
      </c>
      <c r="T70" s="1">
        <v>84</v>
      </c>
      <c r="U70" s="1">
        <v>2</v>
      </c>
      <c r="V70" s="1">
        <v>2</v>
      </c>
      <c r="W70" s="11">
        <v>0</v>
      </c>
      <c r="X70" s="10">
        <v>1</v>
      </c>
      <c r="Y70" s="1">
        <v>0</v>
      </c>
      <c r="Z70" s="1">
        <v>20</v>
      </c>
      <c r="AA70" s="1">
        <v>113</v>
      </c>
      <c r="AB70" s="1">
        <v>92</v>
      </c>
      <c r="AC70" s="1">
        <v>117</v>
      </c>
      <c r="AD70" s="1">
        <v>103</v>
      </c>
      <c r="AE70" s="1">
        <v>114</v>
      </c>
      <c r="AF70" s="1">
        <v>128</v>
      </c>
      <c r="AG70" s="1">
        <v>122</v>
      </c>
      <c r="AH70" s="1">
        <v>113</v>
      </c>
      <c r="AI70" s="1">
        <v>99</v>
      </c>
      <c r="AJ70" s="1">
        <v>77</v>
      </c>
      <c r="AK70" s="1">
        <v>78</v>
      </c>
      <c r="AL70" s="1">
        <v>85</v>
      </c>
      <c r="AM70" s="1">
        <v>57</v>
      </c>
      <c r="AN70" s="1">
        <v>55</v>
      </c>
      <c r="AO70" s="1">
        <v>16</v>
      </c>
      <c r="AP70" s="1">
        <v>0</v>
      </c>
      <c r="AQ70" s="11">
        <v>1</v>
      </c>
      <c r="AR70" s="1">
        <v>18</v>
      </c>
      <c r="AS70" s="1">
        <v>43</v>
      </c>
      <c r="AT70" s="1">
        <v>48</v>
      </c>
      <c r="AU70" s="1">
        <v>115</v>
      </c>
      <c r="AV70" s="1">
        <v>121</v>
      </c>
      <c r="AW70" s="1">
        <v>164</v>
      </c>
      <c r="AX70" s="1">
        <v>160</v>
      </c>
      <c r="AY70" s="1">
        <v>111</v>
      </c>
      <c r="AZ70" s="1">
        <v>106</v>
      </c>
      <c r="BA70" s="1">
        <v>107</v>
      </c>
      <c r="BB70" s="1">
        <v>109</v>
      </c>
      <c r="BC70" s="1">
        <v>101</v>
      </c>
      <c r="BD70" s="1">
        <v>121</v>
      </c>
      <c r="BE70" s="1">
        <v>172</v>
      </c>
      <c r="BF70" s="1">
        <v>133</v>
      </c>
      <c r="BG70" s="1">
        <v>103</v>
      </c>
      <c r="BH70" s="1">
        <v>104</v>
      </c>
      <c r="BI70" s="1">
        <v>44</v>
      </c>
      <c r="BJ70" s="1">
        <v>37</v>
      </c>
      <c r="BK70" s="1">
        <v>18</v>
      </c>
      <c r="BL70" s="10">
        <v>58</v>
      </c>
      <c r="BM70" s="1">
        <v>57</v>
      </c>
      <c r="BN70" s="1">
        <v>122</v>
      </c>
      <c r="BO70" s="1">
        <v>117</v>
      </c>
      <c r="BP70" s="1">
        <v>98</v>
      </c>
      <c r="BQ70" s="1">
        <v>88</v>
      </c>
      <c r="BR70" s="1">
        <v>102</v>
      </c>
      <c r="BS70" s="1">
        <v>80</v>
      </c>
      <c r="BT70" s="1">
        <v>103</v>
      </c>
      <c r="BU70" s="1">
        <v>108</v>
      </c>
      <c r="BV70" s="1">
        <v>105</v>
      </c>
      <c r="BW70" s="1">
        <v>90</v>
      </c>
      <c r="BX70" s="1">
        <v>85</v>
      </c>
      <c r="BY70" s="1">
        <v>104</v>
      </c>
      <c r="BZ70" s="1">
        <v>80</v>
      </c>
      <c r="CA70" s="1">
        <v>102</v>
      </c>
      <c r="CB70" s="1">
        <v>103</v>
      </c>
      <c r="CC70" s="1">
        <v>118</v>
      </c>
      <c r="CD70" s="1">
        <v>84</v>
      </c>
      <c r="CE70" s="11">
        <v>60</v>
      </c>
    </row>
    <row r="71" spans="1:83" ht="17" customHeight="1" x14ac:dyDescent="0.2">
      <c r="A71" s="66"/>
      <c r="C71" s="68"/>
      <c r="D71" s="10">
        <v>0</v>
      </c>
      <c r="E71" s="1">
        <v>2</v>
      </c>
      <c r="F71" s="1">
        <v>2</v>
      </c>
      <c r="G71" s="1">
        <v>8</v>
      </c>
      <c r="H71" s="1">
        <v>84</v>
      </c>
      <c r="I71" s="1">
        <v>87</v>
      </c>
      <c r="J71" s="1">
        <v>67</v>
      </c>
      <c r="K71" s="1">
        <v>70</v>
      </c>
      <c r="L71" s="1">
        <v>71</v>
      </c>
      <c r="M71" s="1">
        <v>65</v>
      </c>
      <c r="N71" s="1">
        <v>66</v>
      </c>
      <c r="O71" s="1">
        <v>70</v>
      </c>
      <c r="P71" s="1">
        <v>65</v>
      </c>
      <c r="Q71" s="1">
        <v>59</v>
      </c>
      <c r="R71" s="1">
        <v>70</v>
      </c>
      <c r="S71" s="1">
        <v>108</v>
      </c>
      <c r="T71" s="1">
        <v>24</v>
      </c>
      <c r="U71" s="1">
        <v>1</v>
      </c>
      <c r="V71" s="1">
        <v>2</v>
      </c>
      <c r="W71" s="11">
        <v>0</v>
      </c>
      <c r="X71" s="10">
        <v>1</v>
      </c>
      <c r="Y71" s="1">
        <v>1</v>
      </c>
      <c r="Z71" s="1">
        <v>0</v>
      </c>
      <c r="AA71" s="1">
        <v>102</v>
      </c>
      <c r="AB71" s="1">
        <v>93</v>
      </c>
      <c r="AC71" s="1">
        <v>123</v>
      </c>
      <c r="AD71" s="1">
        <v>113</v>
      </c>
      <c r="AE71" s="1">
        <v>109</v>
      </c>
      <c r="AF71" s="1">
        <v>120</v>
      </c>
      <c r="AG71" s="1">
        <v>114</v>
      </c>
      <c r="AH71" s="1">
        <v>96</v>
      </c>
      <c r="AI71" s="1">
        <v>86</v>
      </c>
      <c r="AJ71" s="1">
        <v>80</v>
      </c>
      <c r="AK71" s="1">
        <v>78</v>
      </c>
      <c r="AL71" s="1">
        <v>72</v>
      </c>
      <c r="AM71" s="1">
        <v>51</v>
      </c>
      <c r="AN71" s="1">
        <v>52</v>
      </c>
      <c r="AO71" s="1">
        <v>0</v>
      </c>
      <c r="AP71" s="1">
        <v>1</v>
      </c>
      <c r="AQ71" s="11">
        <v>1</v>
      </c>
      <c r="AR71" s="1">
        <v>17</v>
      </c>
      <c r="AS71" s="1">
        <v>34</v>
      </c>
      <c r="AT71" s="1">
        <v>40</v>
      </c>
      <c r="AU71" s="1">
        <v>87</v>
      </c>
      <c r="AV71" s="1">
        <v>129</v>
      </c>
      <c r="AW71" s="1">
        <v>121</v>
      </c>
      <c r="AX71" s="1">
        <v>146</v>
      </c>
      <c r="AY71" s="1">
        <v>128</v>
      </c>
      <c r="AZ71" s="1">
        <v>110</v>
      </c>
      <c r="BA71" s="1">
        <v>106</v>
      </c>
      <c r="BB71" s="1">
        <v>107</v>
      </c>
      <c r="BC71" s="1">
        <v>111</v>
      </c>
      <c r="BD71" s="1">
        <v>143</v>
      </c>
      <c r="BE71" s="1">
        <v>139</v>
      </c>
      <c r="BF71" s="1">
        <v>129</v>
      </c>
      <c r="BG71" s="1">
        <v>105</v>
      </c>
      <c r="BH71" s="1">
        <v>60</v>
      </c>
      <c r="BI71" s="1">
        <v>39</v>
      </c>
      <c r="BJ71" s="1">
        <v>21</v>
      </c>
      <c r="BK71" s="1">
        <v>17</v>
      </c>
      <c r="BL71" s="10">
        <v>48</v>
      </c>
      <c r="BM71" s="1">
        <v>30</v>
      </c>
      <c r="BN71" s="1">
        <v>64</v>
      </c>
      <c r="BO71" s="1">
        <v>123</v>
      </c>
      <c r="BP71" s="1">
        <v>86</v>
      </c>
      <c r="BQ71" s="1">
        <v>79</v>
      </c>
      <c r="BR71" s="1">
        <v>107</v>
      </c>
      <c r="BS71" s="1">
        <v>97</v>
      </c>
      <c r="BT71" s="1">
        <v>83</v>
      </c>
      <c r="BU71" s="1">
        <v>107</v>
      </c>
      <c r="BV71" s="1">
        <v>93</v>
      </c>
      <c r="BW71" s="1">
        <v>88</v>
      </c>
      <c r="BX71" s="1">
        <v>88</v>
      </c>
      <c r="BY71" s="1">
        <v>83</v>
      </c>
      <c r="BZ71" s="1">
        <v>78</v>
      </c>
      <c r="CA71" s="1">
        <v>99</v>
      </c>
      <c r="CB71" s="1">
        <v>130</v>
      </c>
      <c r="CC71" s="1">
        <v>88</v>
      </c>
      <c r="CD71" s="1">
        <v>57</v>
      </c>
      <c r="CE71" s="11">
        <v>31</v>
      </c>
    </row>
    <row r="72" spans="1:83" ht="17" customHeight="1" x14ac:dyDescent="0.2">
      <c r="A72" s="66"/>
      <c r="C72" s="68"/>
      <c r="D72" s="10">
        <v>0</v>
      </c>
      <c r="E72" s="1">
        <v>2</v>
      </c>
      <c r="F72" s="1">
        <v>5</v>
      </c>
      <c r="G72" s="1">
        <v>4</v>
      </c>
      <c r="H72" s="1">
        <v>18</v>
      </c>
      <c r="I72" s="1">
        <v>107</v>
      </c>
      <c r="J72" s="1">
        <v>90</v>
      </c>
      <c r="K72" s="1">
        <v>67</v>
      </c>
      <c r="L72" s="1">
        <v>75</v>
      </c>
      <c r="M72" s="1">
        <v>69</v>
      </c>
      <c r="N72" s="1">
        <v>77</v>
      </c>
      <c r="O72" s="1">
        <v>81</v>
      </c>
      <c r="P72" s="1">
        <v>81</v>
      </c>
      <c r="Q72" s="1">
        <v>78</v>
      </c>
      <c r="R72" s="1">
        <v>83</v>
      </c>
      <c r="S72" s="1">
        <v>29</v>
      </c>
      <c r="T72" s="1">
        <v>2</v>
      </c>
      <c r="U72" s="1">
        <v>5</v>
      </c>
      <c r="V72" s="1">
        <v>2</v>
      </c>
      <c r="W72" s="11">
        <v>0</v>
      </c>
      <c r="X72" s="10">
        <v>1</v>
      </c>
      <c r="Y72" s="1">
        <v>1</v>
      </c>
      <c r="Z72" s="1">
        <v>0</v>
      </c>
      <c r="AA72" s="1">
        <v>25</v>
      </c>
      <c r="AB72" s="1">
        <v>148</v>
      </c>
      <c r="AC72" s="1">
        <v>73</v>
      </c>
      <c r="AD72" s="1">
        <v>114</v>
      </c>
      <c r="AE72" s="1">
        <v>121</v>
      </c>
      <c r="AF72" s="1">
        <v>116</v>
      </c>
      <c r="AG72" s="1">
        <v>108</v>
      </c>
      <c r="AH72" s="1">
        <v>96</v>
      </c>
      <c r="AI72" s="1">
        <v>88</v>
      </c>
      <c r="AJ72" s="1">
        <v>89</v>
      </c>
      <c r="AK72" s="1">
        <v>70</v>
      </c>
      <c r="AL72" s="1">
        <v>45</v>
      </c>
      <c r="AM72" s="1">
        <v>82</v>
      </c>
      <c r="AN72" s="1">
        <v>11</v>
      </c>
      <c r="AO72" s="1">
        <v>0</v>
      </c>
      <c r="AP72" s="1">
        <v>1</v>
      </c>
      <c r="AQ72" s="11">
        <v>1</v>
      </c>
      <c r="AR72" s="1">
        <v>17</v>
      </c>
      <c r="AS72" s="1">
        <v>18</v>
      </c>
      <c r="AT72" s="1">
        <v>52</v>
      </c>
      <c r="AU72" s="1">
        <v>48</v>
      </c>
      <c r="AV72" s="1">
        <v>90</v>
      </c>
      <c r="AW72" s="1">
        <v>107</v>
      </c>
      <c r="AX72" s="1">
        <v>114</v>
      </c>
      <c r="AY72" s="1">
        <v>132</v>
      </c>
      <c r="AZ72" s="1">
        <v>126</v>
      </c>
      <c r="BA72" s="1">
        <v>105</v>
      </c>
      <c r="BB72" s="1">
        <v>105</v>
      </c>
      <c r="BC72" s="1">
        <v>115</v>
      </c>
      <c r="BD72" s="1">
        <v>123</v>
      </c>
      <c r="BE72" s="1">
        <v>109</v>
      </c>
      <c r="BF72" s="1">
        <v>107</v>
      </c>
      <c r="BG72" s="1">
        <v>53</v>
      </c>
      <c r="BH72" s="1">
        <v>41</v>
      </c>
      <c r="BI72" s="1">
        <v>26</v>
      </c>
      <c r="BJ72" s="1">
        <v>16</v>
      </c>
      <c r="BK72" s="1">
        <v>17</v>
      </c>
      <c r="BL72" s="10">
        <v>6</v>
      </c>
      <c r="BM72" s="1">
        <v>77</v>
      </c>
      <c r="BN72" s="1">
        <v>27</v>
      </c>
      <c r="BO72" s="1">
        <v>70</v>
      </c>
      <c r="BP72" s="1">
        <v>107</v>
      </c>
      <c r="BQ72" s="1">
        <v>85</v>
      </c>
      <c r="BR72" s="1">
        <v>92</v>
      </c>
      <c r="BS72" s="1">
        <v>103</v>
      </c>
      <c r="BT72" s="1">
        <v>98</v>
      </c>
      <c r="BU72" s="1">
        <v>107</v>
      </c>
      <c r="BV72" s="1">
        <v>98</v>
      </c>
      <c r="BW72" s="1">
        <v>88</v>
      </c>
      <c r="BX72" s="1">
        <v>85</v>
      </c>
      <c r="BY72" s="1">
        <v>83</v>
      </c>
      <c r="BZ72" s="1">
        <v>97</v>
      </c>
      <c r="CA72" s="1">
        <v>92</v>
      </c>
      <c r="CB72" s="1">
        <v>97</v>
      </c>
      <c r="CC72" s="1">
        <v>44</v>
      </c>
      <c r="CD72" s="1">
        <v>55</v>
      </c>
      <c r="CE72" s="11">
        <v>0</v>
      </c>
    </row>
    <row r="73" spans="1:83" ht="17" customHeight="1" x14ac:dyDescent="0.2">
      <c r="A73" s="66"/>
      <c r="C73" s="68"/>
      <c r="D73" s="10">
        <v>0</v>
      </c>
      <c r="E73" s="1">
        <v>2</v>
      </c>
      <c r="F73" s="1">
        <v>3</v>
      </c>
      <c r="G73" s="1">
        <v>4</v>
      </c>
      <c r="H73" s="1">
        <v>1</v>
      </c>
      <c r="I73" s="1">
        <v>8</v>
      </c>
      <c r="J73" s="1">
        <v>66</v>
      </c>
      <c r="K73" s="1">
        <v>85</v>
      </c>
      <c r="L73" s="1">
        <v>82</v>
      </c>
      <c r="M73" s="1">
        <v>101</v>
      </c>
      <c r="N73" s="1">
        <v>117</v>
      </c>
      <c r="O73" s="1">
        <v>102</v>
      </c>
      <c r="P73" s="1">
        <v>91</v>
      </c>
      <c r="Q73" s="1">
        <v>69</v>
      </c>
      <c r="R73" s="1">
        <v>12</v>
      </c>
      <c r="S73" s="1">
        <v>0</v>
      </c>
      <c r="T73" s="1">
        <v>4</v>
      </c>
      <c r="U73" s="1">
        <v>4</v>
      </c>
      <c r="V73" s="1">
        <v>2</v>
      </c>
      <c r="W73" s="11">
        <v>0</v>
      </c>
      <c r="X73" s="10">
        <v>1</v>
      </c>
      <c r="Y73" s="1">
        <v>1</v>
      </c>
      <c r="Z73" s="1">
        <v>1</v>
      </c>
      <c r="AA73" s="1">
        <v>0</v>
      </c>
      <c r="AB73" s="1">
        <v>70</v>
      </c>
      <c r="AC73" s="1">
        <v>162</v>
      </c>
      <c r="AD73" s="1">
        <v>67</v>
      </c>
      <c r="AE73" s="1">
        <v>57</v>
      </c>
      <c r="AF73" s="1">
        <v>64</v>
      </c>
      <c r="AG73" s="1">
        <v>44</v>
      </c>
      <c r="AH73" s="1">
        <v>55</v>
      </c>
      <c r="AI73" s="1">
        <v>50</v>
      </c>
      <c r="AJ73" s="1">
        <v>37</v>
      </c>
      <c r="AK73" s="1">
        <v>47</v>
      </c>
      <c r="AL73" s="1">
        <v>92</v>
      </c>
      <c r="AM73" s="1">
        <v>26</v>
      </c>
      <c r="AN73" s="1">
        <v>0</v>
      </c>
      <c r="AO73" s="1">
        <v>1</v>
      </c>
      <c r="AP73" s="1">
        <v>1</v>
      </c>
      <c r="AQ73" s="11">
        <v>1</v>
      </c>
      <c r="AR73" s="1">
        <v>17</v>
      </c>
      <c r="AS73" s="1">
        <v>17</v>
      </c>
      <c r="AT73" s="1">
        <v>23</v>
      </c>
      <c r="AU73" s="1">
        <v>47</v>
      </c>
      <c r="AV73" s="1">
        <v>43</v>
      </c>
      <c r="AW73" s="1">
        <v>50</v>
      </c>
      <c r="AX73" s="1">
        <v>82</v>
      </c>
      <c r="AY73" s="1">
        <v>97</v>
      </c>
      <c r="AZ73" s="1">
        <v>103</v>
      </c>
      <c r="BA73" s="1">
        <v>86</v>
      </c>
      <c r="BB73" s="1">
        <v>82</v>
      </c>
      <c r="BC73" s="1">
        <v>100</v>
      </c>
      <c r="BD73" s="1">
        <v>90</v>
      </c>
      <c r="BE73" s="1">
        <v>68</v>
      </c>
      <c r="BF73" s="1">
        <v>44</v>
      </c>
      <c r="BG73" s="1">
        <v>46</v>
      </c>
      <c r="BH73" s="1">
        <v>28</v>
      </c>
      <c r="BI73" s="1">
        <v>16</v>
      </c>
      <c r="BJ73" s="1">
        <v>17</v>
      </c>
      <c r="BK73" s="1">
        <v>17</v>
      </c>
      <c r="BL73" s="10">
        <v>0</v>
      </c>
      <c r="BM73" s="1">
        <v>17</v>
      </c>
      <c r="BN73" s="1">
        <v>85</v>
      </c>
      <c r="BO73" s="1">
        <v>53</v>
      </c>
      <c r="BP73" s="1">
        <v>97</v>
      </c>
      <c r="BQ73" s="1">
        <v>108</v>
      </c>
      <c r="BR73" s="1">
        <v>100</v>
      </c>
      <c r="BS73" s="1">
        <v>96</v>
      </c>
      <c r="BT73" s="1">
        <v>116</v>
      </c>
      <c r="BU73" s="1">
        <v>103</v>
      </c>
      <c r="BV73" s="1">
        <v>104</v>
      </c>
      <c r="BW73" s="1">
        <v>91</v>
      </c>
      <c r="BX73" s="1">
        <v>87</v>
      </c>
      <c r="BY73" s="1">
        <v>84</v>
      </c>
      <c r="BZ73" s="1">
        <v>106</v>
      </c>
      <c r="CA73" s="1">
        <v>65</v>
      </c>
      <c r="CB73" s="1">
        <v>31</v>
      </c>
      <c r="CC73" s="1">
        <v>66</v>
      </c>
      <c r="CD73" s="1">
        <v>9</v>
      </c>
      <c r="CE73" s="11">
        <v>0</v>
      </c>
    </row>
    <row r="74" spans="1:83" ht="17" customHeight="1" x14ac:dyDescent="0.2">
      <c r="A74" s="66"/>
      <c r="C74" s="68"/>
      <c r="D74" s="10">
        <v>0</v>
      </c>
      <c r="E74" s="1">
        <v>2</v>
      </c>
      <c r="F74" s="1">
        <v>3</v>
      </c>
      <c r="G74" s="1">
        <v>3</v>
      </c>
      <c r="H74" s="1">
        <v>3</v>
      </c>
      <c r="I74" s="1">
        <v>2</v>
      </c>
      <c r="J74" s="1">
        <v>0</v>
      </c>
      <c r="K74" s="1">
        <v>14</v>
      </c>
      <c r="L74" s="1">
        <v>31</v>
      </c>
      <c r="M74" s="1">
        <v>49</v>
      </c>
      <c r="N74" s="1">
        <v>43</v>
      </c>
      <c r="O74" s="1">
        <v>37</v>
      </c>
      <c r="P74" s="1">
        <v>20</v>
      </c>
      <c r="Q74" s="1">
        <v>3</v>
      </c>
      <c r="R74" s="1">
        <v>1</v>
      </c>
      <c r="S74" s="1">
        <v>3</v>
      </c>
      <c r="T74" s="1">
        <v>3</v>
      </c>
      <c r="U74" s="1">
        <v>3</v>
      </c>
      <c r="V74" s="1">
        <v>1</v>
      </c>
      <c r="W74" s="11">
        <v>0</v>
      </c>
      <c r="X74" s="10">
        <v>1</v>
      </c>
      <c r="Y74" s="1">
        <v>1</v>
      </c>
      <c r="Z74" s="1">
        <v>1</v>
      </c>
      <c r="AA74" s="1">
        <v>1</v>
      </c>
      <c r="AB74" s="1">
        <v>0</v>
      </c>
      <c r="AC74" s="1">
        <v>56</v>
      </c>
      <c r="AD74" s="1">
        <v>129</v>
      </c>
      <c r="AE74" s="1">
        <v>66</v>
      </c>
      <c r="AF74" s="1">
        <v>51</v>
      </c>
      <c r="AG74" s="1">
        <v>66</v>
      </c>
      <c r="AH74" s="1">
        <v>61</v>
      </c>
      <c r="AI74" s="1">
        <v>71</v>
      </c>
      <c r="AJ74" s="1">
        <v>90</v>
      </c>
      <c r="AK74" s="1">
        <v>82</v>
      </c>
      <c r="AL74" s="1">
        <v>20</v>
      </c>
      <c r="AM74" s="1">
        <v>0</v>
      </c>
      <c r="AN74" s="1">
        <v>1</v>
      </c>
      <c r="AO74" s="1">
        <v>1</v>
      </c>
      <c r="AP74" s="1">
        <v>1</v>
      </c>
      <c r="AQ74" s="11">
        <v>1</v>
      </c>
      <c r="AR74" s="1">
        <v>17</v>
      </c>
      <c r="AS74" s="1">
        <v>17</v>
      </c>
      <c r="AT74" s="1">
        <v>15</v>
      </c>
      <c r="AU74" s="1">
        <v>17</v>
      </c>
      <c r="AV74" s="1">
        <v>34</v>
      </c>
      <c r="AW74" s="1">
        <v>44</v>
      </c>
      <c r="AX74" s="1">
        <v>37</v>
      </c>
      <c r="AY74" s="1">
        <v>41</v>
      </c>
      <c r="AZ74" s="1">
        <v>50</v>
      </c>
      <c r="BA74" s="1">
        <v>44</v>
      </c>
      <c r="BB74" s="1">
        <v>42</v>
      </c>
      <c r="BC74" s="1">
        <v>44</v>
      </c>
      <c r="BD74" s="1">
        <v>37</v>
      </c>
      <c r="BE74" s="1">
        <v>39</v>
      </c>
      <c r="BF74" s="1">
        <v>42</v>
      </c>
      <c r="BG74" s="1">
        <v>22</v>
      </c>
      <c r="BH74" s="1">
        <v>15</v>
      </c>
      <c r="BI74" s="1">
        <v>17</v>
      </c>
      <c r="BJ74" s="1">
        <v>16</v>
      </c>
      <c r="BK74" s="1">
        <v>16</v>
      </c>
      <c r="BL74" s="10">
        <v>0</v>
      </c>
      <c r="BM74" s="1">
        <v>0</v>
      </c>
      <c r="BN74" s="1">
        <v>10</v>
      </c>
      <c r="BO74" s="1">
        <v>74</v>
      </c>
      <c r="BP74" s="1">
        <v>73</v>
      </c>
      <c r="BQ74" s="1">
        <v>98</v>
      </c>
      <c r="BR74" s="1">
        <v>98</v>
      </c>
      <c r="BS74" s="1">
        <v>88</v>
      </c>
      <c r="BT74" s="1">
        <v>98</v>
      </c>
      <c r="BU74" s="1">
        <v>57</v>
      </c>
      <c r="BV74" s="1">
        <v>82</v>
      </c>
      <c r="BW74" s="1">
        <v>90</v>
      </c>
      <c r="BX74" s="1">
        <v>95</v>
      </c>
      <c r="BY74" s="1">
        <v>78</v>
      </c>
      <c r="BZ74" s="1">
        <v>51</v>
      </c>
      <c r="CA74" s="1">
        <v>46</v>
      </c>
      <c r="CB74" s="1">
        <v>51</v>
      </c>
      <c r="CC74" s="1">
        <v>10</v>
      </c>
      <c r="CD74" s="1">
        <v>0</v>
      </c>
      <c r="CE74" s="11">
        <v>0</v>
      </c>
    </row>
    <row r="75" spans="1:83" ht="17" customHeight="1" x14ac:dyDescent="0.2">
      <c r="A75" s="66"/>
      <c r="C75" s="68"/>
      <c r="D75" s="10">
        <v>0</v>
      </c>
      <c r="E75" s="1">
        <v>1</v>
      </c>
      <c r="F75" s="1">
        <v>3</v>
      </c>
      <c r="G75" s="1">
        <v>3</v>
      </c>
      <c r="H75" s="1">
        <v>3</v>
      </c>
      <c r="I75" s="1">
        <v>3</v>
      </c>
      <c r="J75" s="1">
        <v>3</v>
      </c>
      <c r="K75" s="1">
        <v>1</v>
      </c>
      <c r="L75" s="1">
        <v>0</v>
      </c>
      <c r="M75" s="1">
        <v>0</v>
      </c>
      <c r="N75" s="1">
        <v>0</v>
      </c>
      <c r="O75" s="1">
        <v>0</v>
      </c>
      <c r="P75" s="1">
        <v>1</v>
      </c>
      <c r="Q75" s="1">
        <v>3</v>
      </c>
      <c r="R75" s="1">
        <v>3</v>
      </c>
      <c r="S75" s="1">
        <v>3</v>
      </c>
      <c r="T75" s="1">
        <v>3</v>
      </c>
      <c r="U75" s="1">
        <v>3</v>
      </c>
      <c r="V75" s="1">
        <v>1</v>
      </c>
      <c r="W75" s="11">
        <v>0</v>
      </c>
      <c r="X75" s="10">
        <v>1</v>
      </c>
      <c r="Y75" s="1">
        <v>1</v>
      </c>
      <c r="Z75" s="1">
        <v>1</v>
      </c>
      <c r="AA75" s="1">
        <v>1</v>
      </c>
      <c r="AB75" s="1">
        <v>1</v>
      </c>
      <c r="AC75" s="1">
        <v>0</v>
      </c>
      <c r="AD75" s="1">
        <v>0</v>
      </c>
      <c r="AE75" s="1">
        <v>1</v>
      </c>
      <c r="AF75" s="1">
        <v>6</v>
      </c>
      <c r="AG75" s="1">
        <v>7</v>
      </c>
      <c r="AH75" s="1">
        <v>7</v>
      </c>
      <c r="AI75" s="1">
        <v>16</v>
      </c>
      <c r="AJ75" s="1">
        <v>13</v>
      </c>
      <c r="AK75" s="1">
        <v>0</v>
      </c>
      <c r="AL75" s="1">
        <v>0</v>
      </c>
      <c r="AM75" s="1">
        <v>1</v>
      </c>
      <c r="AN75" s="1">
        <v>1</v>
      </c>
      <c r="AO75" s="1">
        <v>1</v>
      </c>
      <c r="AP75" s="1">
        <v>1</v>
      </c>
      <c r="AQ75" s="11">
        <v>1</v>
      </c>
      <c r="AR75" s="1">
        <v>15</v>
      </c>
      <c r="AS75" s="1">
        <v>16</v>
      </c>
      <c r="AT75" s="1">
        <v>16</v>
      </c>
      <c r="AU75" s="1">
        <v>16</v>
      </c>
      <c r="AV75" s="1">
        <v>15</v>
      </c>
      <c r="AW75" s="1">
        <v>18</v>
      </c>
      <c r="AX75" s="1">
        <v>29</v>
      </c>
      <c r="AY75" s="1">
        <v>35</v>
      </c>
      <c r="AZ75" s="1">
        <v>35</v>
      </c>
      <c r="BA75" s="1">
        <v>37</v>
      </c>
      <c r="BB75" s="1">
        <v>41</v>
      </c>
      <c r="BC75" s="1">
        <v>42</v>
      </c>
      <c r="BD75" s="1">
        <v>31</v>
      </c>
      <c r="BE75" s="1">
        <v>22</v>
      </c>
      <c r="BF75" s="1">
        <v>15</v>
      </c>
      <c r="BG75" s="1">
        <v>15</v>
      </c>
      <c r="BH75" s="1">
        <v>15</v>
      </c>
      <c r="BI75" s="1">
        <v>15</v>
      </c>
      <c r="BJ75" s="1">
        <v>15</v>
      </c>
      <c r="BK75" s="1">
        <v>16</v>
      </c>
      <c r="BL75" s="10">
        <v>0</v>
      </c>
      <c r="BM75" s="1">
        <v>0</v>
      </c>
      <c r="BN75" s="1">
        <v>0</v>
      </c>
      <c r="BO75" s="1">
        <v>0</v>
      </c>
      <c r="BP75" s="1">
        <v>35</v>
      </c>
      <c r="BQ75" s="1">
        <v>57</v>
      </c>
      <c r="BR75" s="1">
        <v>62</v>
      </c>
      <c r="BS75" s="1">
        <v>69</v>
      </c>
      <c r="BT75" s="1">
        <v>62</v>
      </c>
      <c r="BU75" s="1">
        <v>36</v>
      </c>
      <c r="BV75" s="1">
        <v>49</v>
      </c>
      <c r="BW75" s="1">
        <v>71</v>
      </c>
      <c r="BX75" s="1">
        <v>65</v>
      </c>
      <c r="BY75" s="1">
        <v>62</v>
      </c>
      <c r="BZ75" s="1">
        <v>48</v>
      </c>
      <c r="CA75" s="1">
        <v>23</v>
      </c>
      <c r="CB75" s="1">
        <v>0</v>
      </c>
      <c r="CC75" s="1">
        <v>0</v>
      </c>
      <c r="CD75" s="1">
        <v>0</v>
      </c>
      <c r="CE75" s="11">
        <v>0</v>
      </c>
    </row>
    <row r="76" spans="1:83" ht="17" customHeight="1" thickBot="1" x14ac:dyDescent="0.25">
      <c r="A76" s="69"/>
      <c r="B76" s="70"/>
      <c r="C76" s="71"/>
      <c r="D76" s="12">
        <v>0</v>
      </c>
      <c r="E76" s="13">
        <v>0</v>
      </c>
      <c r="F76" s="13">
        <v>1</v>
      </c>
      <c r="G76" s="13">
        <v>1</v>
      </c>
      <c r="H76" s="13">
        <v>1</v>
      </c>
      <c r="I76" s="13">
        <v>1</v>
      </c>
      <c r="J76" s="13">
        <v>1</v>
      </c>
      <c r="K76" s="13">
        <v>1</v>
      </c>
      <c r="L76" s="13">
        <v>1</v>
      </c>
      <c r="M76" s="13">
        <v>1</v>
      </c>
      <c r="N76" s="13">
        <v>1</v>
      </c>
      <c r="O76" s="13">
        <v>1</v>
      </c>
      <c r="P76" s="13">
        <v>1</v>
      </c>
      <c r="Q76" s="13">
        <v>1</v>
      </c>
      <c r="R76" s="13">
        <v>1</v>
      </c>
      <c r="S76" s="13">
        <v>1</v>
      </c>
      <c r="T76" s="13">
        <v>1</v>
      </c>
      <c r="U76" s="13">
        <v>1</v>
      </c>
      <c r="V76" s="13">
        <v>0</v>
      </c>
      <c r="W76" s="14">
        <v>0</v>
      </c>
      <c r="X76" s="12">
        <v>1</v>
      </c>
      <c r="Y76" s="13">
        <v>1</v>
      </c>
      <c r="Z76" s="13">
        <v>1</v>
      </c>
      <c r="AA76" s="13">
        <v>1</v>
      </c>
      <c r="AB76" s="13">
        <v>1</v>
      </c>
      <c r="AC76" s="13">
        <v>1</v>
      </c>
      <c r="AD76" s="13">
        <v>1</v>
      </c>
      <c r="AE76" s="13">
        <v>1</v>
      </c>
      <c r="AF76" s="13">
        <v>4</v>
      </c>
      <c r="AG76" s="13">
        <v>3</v>
      </c>
      <c r="AH76" s="13">
        <v>1</v>
      </c>
      <c r="AI76" s="13">
        <v>0</v>
      </c>
      <c r="AJ76" s="13">
        <v>0</v>
      </c>
      <c r="AK76" s="13">
        <v>1</v>
      </c>
      <c r="AL76" s="13">
        <v>1</v>
      </c>
      <c r="AM76" s="13">
        <v>1</v>
      </c>
      <c r="AN76" s="13">
        <v>1</v>
      </c>
      <c r="AO76" s="13">
        <v>1</v>
      </c>
      <c r="AP76" s="13">
        <v>1</v>
      </c>
      <c r="AQ76" s="14">
        <v>1</v>
      </c>
      <c r="AR76" s="13">
        <v>15</v>
      </c>
      <c r="AS76" s="13">
        <v>16</v>
      </c>
      <c r="AT76" s="13">
        <v>16</v>
      </c>
      <c r="AU76" s="13">
        <v>16</v>
      </c>
      <c r="AV76" s="13">
        <v>17</v>
      </c>
      <c r="AW76" s="13">
        <v>16</v>
      </c>
      <c r="AX76" s="13">
        <v>15</v>
      </c>
      <c r="AY76" s="13">
        <v>15</v>
      </c>
      <c r="AZ76" s="13">
        <v>16</v>
      </c>
      <c r="BA76" s="13">
        <v>16</v>
      </c>
      <c r="BB76" s="13">
        <v>15</v>
      </c>
      <c r="BC76" s="13">
        <v>14</v>
      </c>
      <c r="BD76" s="13">
        <v>14</v>
      </c>
      <c r="BE76" s="13">
        <v>15</v>
      </c>
      <c r="BF76" s="13">
        <v>15</v>
      </c>
      <c r="BG76" s="13">
        <v>15</v>
      </c>
      <c r="BH76" s="13">
        <v>15</v>
      </c>
      <c r="BI76" s="13">
        <v>15</v>
      </c>
      <c r="BJ76" s="13">
        <v>15</v>
      </c>
      <c r="BK76" s="13">
        <v>15</v>
      </c>
      <c r="BL76" s="12">
        <v>0</v>
      </c>
      <c r="BM76" s="13">
        <v>0</v>
      </c>
      <c r="BN76" s="13">
        <v>0</v>
      </c>
      <c r="BO76" s="13">
        <v>0</v>
      </c>
      <c r="BP76" s="13">
        <v>0</v>
      </c>
      <c r="BQ76" s="13">
        <v>2</v>
      </c>
      <c r="BR76" s="13">
        <v>19</v>
      </c>
      <c r="BS76" s="13">
        <v>40</v>
      </c>
      <c r="BT76" s="13">
        <v>49</v>
      </c>
      <c r="BU76" s="13">
        <v>47</v>
      </c>
      <c r="BV76" s="13">
        <v>42</v>
      </c>
      <c r="BW76" s="13">
        <v>43</v>
      </c>
      <c r="BX76" s="13">
        <v>30</v>
      </c>
      <c r="BY76" s="13">
        <v>10</v>
      </c>
      <c r="BZ76" s="13">
        <v>0</v>
      </c>
      <c r="CA76" s="13">
        <v>0</v>
      </c>
      <c r="CB76" s="13">
        <v>0</v>
      </c>
      <c r="CC76" s="13">
        <v>0</v>
      </c>
      <c r="CD76" s="13">
        <v>0</v>
      </c>
      <c r="CE76" s="14">
        <v>0</v>
      </c>
    </row>
    <row r="77" spans="1:83" ht="17" customHeight="1" x14ac:dyDescent="0.2">
      <c r="A77" s="63"/>
      <c r="B77" s="64"/>
      <c r="C77" s="65" t="s">
        <v>43</v>
      </c>
      <c r="D77" s="10">
        <v>4</v>
      </c>
      <c r="E77" s="1">
        <v>4</v>
      </c>
      <c r="F77" s="1">
        <v>4</v>
      </c>
      <c r="G77" s="1">
        <v>4</v>
      </c>
      <c r="H77" s="1">
        <v>4</v>
      </c>
      <c r="I77" s="1">
        <v>4</v>
      </c>
      <c r="J77" s="1">
        <v>4</v>
      </c>
      <c r="K77" s="1">
        <v>4</v>
      </c>
      <c r="L77" s="1">
        <v>3</v>
      </c>
      <c r="M77" s="1">
        <v>4</v>
      </c>
      <c r="N77" s="1">
        <v>3</v>
      </c>
      <c r="O77" s="1">
        <v>4</v>
      </c>
      <c r="P77" s="1">
        <v>4</v>
      </c>
      <c r="Q77" s="1">
        <v>4</v>
      </c>
      <c r="R77" s="1">
        <v>4</v>
      </c>
      <c r="S77" s="1">
        <v>4</v>
      </c>
      <c r="T77" s="1">
        <v>4</v>
      </c>
      <c r="U77" s="1">
        <v>4</v>
      </c>
      <c r="V77" s="1">
        <v>4</v>
      </c>
      <c r="W77" s="1">
        <v>4</v>
      </c>
      <c r="X77" s="10">
        <v>15</v>
      </c>
      <c r="Y77" s="1">
        <v>15</v>
      </c>
      <c r="Z77" s="1">
        <v>15</v>
      </c>
      <c r="AA77" s="1">
        <v>15</v>
      </c>
      <c r="AB77" s="1">
        <v>15</v>
      </c>
      <c r="AC77" s="1">
        <v>13</v>
      </c>
      <c r="AD77" s="1">
        <v>9</v>
      </c>
      <c r="AE77" s="1">
        <v>10</v>
      </c>
      <c r="AF77" s="1">
        <v>24</v>
      </c>
      <c r="AG77" s="1">
        <v>37</v>
      </c>
      <c r="AH77" s="1">
        <v>40</v>
      </c>
      <c r="AI77" s="1">
        <v>28</v>
      </c>
      <c r="AJ77" s="1">
        <v>12</v>
      </c>
      <c r="AK77" s="1">
        <v>9</v>
      </c>
      <c r="AL77" s="1">
        <v>13</v>
      </c>
      <c r="AM77" s="1">
        <v>15</v>
      </c>
      <c r="AN77" s="1">
        <v>15</v>
      </c>
      <c r="AO77" s="1">
        <v>15</v>
      </c>
      <c r="AP77" s="1">
        <v>15</v>
      </c>
      <c r="AQ77" s="11">
        <v>15</v>
      </c>
      <c r="AR77" s="1">
        <v>0</v>
      </c>
      <c r="AS77" s="1">
        <v>0</v>
      </c>
      <c r="AT77" s="1">
        <v>1</v>
      </c>
      <c r="AU77" s="1">
        <v>1</v>
      </c>
      <c r="AV77" s="1">
        <v>1</v>
      </c>
      <c r="AW77" s="1">
        <v>1</v>
      </c>
      <c r="AX77" s="1">
        <v>1</v>
      </c>
      <c r="AY77" s="1">
        <v>1</v>
      </c>
      <c r="AZ77" s="1">
        <v>1</v>
      </c>
      <c r="BA77" s="1">
        <v>0</v>
      </c>
      <c r="BB77" s="1">
        <v>0</v>
      </c>
      <c r="BC77" s="1">
        <v>1</v>
      </c>
      <c r="BD77" s="1">
        <v>1</v>
      </c>
      <c r="BE77" s="1">
        <v>1</v>
      </c>
      <c r="BF77" s="1">
        <v>1</v>
      </c>
      <c r="BG77" s="1">
        <v>1</v>
      </c>
      <c r="BH77" s="1">
        <v>1</v>
      </c>
      <c r="BI77" s="1">
        <v>1</v>
      </c>
      <c r="BJ77" s="1">
        <v>1</v>
      </c>
      <c r="BK77" s="1">
        <v>1</v>
      </c>
      <c r="BL77" s="10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3</v>
      </c>
      <c r="BU77" s="1">
        <v>9</v>
      </c>
      <c r="BV77" s="1">
        <v>1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1">
        <v>0</v>
      </c>
    </row>
    <row r="78" spans="1:83" ht="17" customHeight="1" x14ac:dyDescent="0.2">
      <c r="A78" s="66"/>
      <c r="C78" s="67" t="s">
        <v>10</v>
      </c>
      <c r="D78" s="10">
        <v>5</v>
      </c>
      <c r="E78" s="1">
        <v>5</v>
      </c>
      <c r="F78" s="1">
        <v>5</v>
      </c>
      <c r="G78" s="1">
        <v>5</v>
      </c>
      <c r="H78" s="1">
        <v>4</v>
      </c>
      <c r="I78" s="1">
        <v>2</v>
      </c>
      <c r="J78" s="1">
        <v>1</v>
      </c>
      <c r="K78" s="1">
        <v>5</v>
      </c>
      <c r="L78" s="1">
        <v>9</v>
      </c>
      <c r="M78" s="1">
        <v>8</v>
      </c>
      <c r="N78" s="1">
        <v>5</v>
      </c>
      <c r="O78" s="1">
        <v>3</v>
      </c>
      <c r="P78" s="1">
        <v>1</v>
      </c>
      <c r="Q78" s="1">
        <v>2</v>
      </c>
      <c r="R78" s="1">
        <v>4</v>
      </c>
      <c r="S78" s="1">
        <v>5</v>
      </c>
      <c r="T78" s="1">
        <v>5</v>
      </c>
      <c r="U78" s="1">
        <v>5</v>
      </c>
      <c r="V78" s="1">
        <v>5</v>
      </c>
      <c r="W78" s="1">
        <v>5</v>
      </c>
      <c r="X78" s="10">
        <v>15</v>
      </c>
      <c r="Y78" s="1">
        <v>15</v>
      </c>
      <c r="Z78" s="1">
        <v>15</v>
      </c>
      <c r="AA78" s="1">
        <v>14</v>
      </c>
      <c r="AB78" s="1">
        <v>10</v>
      </c>
      <c r="AC78" s="1">
        <v>23</v>
      </c>
      <c r="AD78" s="1">
        <v>70</v>
      </c>
      <c r="AE78" s="1">
        <v>129</v>
      </c>
      <c r="AF78" s="1">
        <v>153</v>
      </c>
      <c r="AG78" s="1">
        <v>150</v>
      </c>
      <c r="AH78" s="1">
        <v>152</v>
      </c>
      <c r="AI78" s="1">
        <v>154</v>
      </c>
      <c r="AJ78" s="1">
        <v>133</v>
      </c>
      <c r="AK78" s="1">
        <v>81</v>
      </c>
      <c r="AL78" s="1">
        <v>26</v>
      </c>
      <c r="AM78" s="1">
        <v>9</v>
      </c>
      <c r="AN78" s="1">
        <v>14</v>
      </c>
      <c r="AO78" s="1">
        <v>15</v>
      </c>
      <c r="AP78" s="1">
        <v>15</v>
      </c>
      <c r="AQ78" s="11">
        <v>15</v>
      </c>
      <c r="AR78" s="1">
        <v>5</v>
      </c>
      <c r="AS78" s="1">
        <v>5</v>
      </c>
      <c r="AT78" s="1">
        <v>5</v>
      </c>
      <c r="AU78" s="1">
        <v>5</v>
      </c>
      <c r="AV78" s="1">
        <v>5</v>
      </c>
      <c r="AW78" s="1">
        <v>5</v>
      </c>
      <c r="AX78" s="1">
        <v>4</v>
      </c>
      <c r="AY78" s="1">
        <v>3</v>
      </c>
      <c r="AZ78" s="1">
        <v>5</v>
      </c>
      <c r="BA78" s="1">
        <v>30</v>
      </c>
      <c r="BB78" s="1">
        <v>37</v>
      </c>
      <c r="BC78" s="1">
        <v>8</v>
      </c>
      <c r="BD78" s="1">
        <v>3</v>
      </c>
      <c r="BE78" s="1">
        <v>3</v>
      </c>
      <c r="BF78" s="1">
        <v>4</v>
      </c>
      <c r="BG78" s="1">
        <v>5</v>
      </c>
      <c r="BH78" s="1">
        <v>5</v>
      </c>
      <c r="BI78" s="1">
        <v>6</v>
      </c>
      <c r="BJ78" s="1">
        <v>5</v>
      </c>
      <c r="BK78" s="1">
        <v>5</v>
      </c>
      <c r="BL78" s="10">
        <v>6</v>
      </c>
      <c r="BM78" s="1">
        <v>6</v>
      </c>
      <c r="BN78" s="1">
        <v>6</v>
      </c>
      <c r="BO78" s="1">
        <v>4</v>
      </c>
      <c r="BP78" s="1">
        <v>13</v>
      </c>
      <c r="BQ78" s="1">
        <v>22</v>
      </c>
      <c r="BR78" s="1">
        <v>12</v>
      </c>
      <c r="BS78" s="1">
        <v>16</v>
      </c>
      <c r="BT78" s="1">
        <v>59</v>
      </c>
      <c r="BU78" s="1">
        <v>65</v>
      </c>
      <c r="BV78" s="1">
        <v>57</v>
      </c>
      <c r="BW78" s="1">
        <v>23</v>
      </c>
      <c r="BX78" s="1">
        <v>28</v>
      </c>
      <c r="BY78" s="1">
        <v>38</v>
      </c>
      <c r="BZ78" s="1">
        <v>28</v>
      </c>
      <c r="CA78" s="1">
        <v>8</v>
      </c>
      <c r="CB78" s="1">
        <v>5</v>
      </c>
      <c r="CC78" s="1">
        <v>7</v>
      </c>
      <c r="CD78" s="1">
        <v>7</v>
      </c>
      <c r="CE78" s="11">
        <v>7</v>
      </c>
    </row>
    <row r="79" spans="1:83" ht="17" customHeight="1" x14ac:dyDescent="0.2">
      <c r="A79" s="66"/>
      <c r="C79" s="68"/>
      <c r="D79" s="10">
        <v>6</v>
      </c>
      <c r="E79" s="1">
        <v>6</v>
      </c>
      <c r="F79" s="1">
        <v>6</v>
      </c>
      <c r="G79" s="1">
        <v>3</v>
      </c>
      <c r="H79" s="1">
        <v>5</v>
      </c>
      <c r="I79" s="1">
        <v>40</v>
      </c>
      <c r="J79" s="1">
        <v>83</v>
      </c>
      <c r="K79" s="1">
        <v>106</v>
      </c>
      <c r="L79" s="1">
        <v>114</v>
      </c>
      <c r="M79" s="1">
        <v>111</v>
      </c>
      <c r="N79" s="1">
        <v>106</v>
      </c>
      <c r="O79" s="1">
        <v>96</v>
      </c>
      <c r="P79" s="1">
        <v>76</v>
      </c>
      <c r="Q79" s="1">
        <v>40</v>
      </c>
      <c r="R79" s="1">
        <v>7</v>
      </c>
      <c r="S79" s="1">
        <v>2</v>
      </c>
      <c r="T79" s="1">
        <v>5</v>
      </c>
      <c r="U79" s="1">
        <v>5</v>
      </c>
      <c r="V79" s="1">
        <v>6</v>
      </c>
      <c r="W79" s="1">
        <v>6</v>
      </c>
      <c r="X79" s="10">
        <v>15</v>
      </c>
      <c r="Y79" s="1">
        <v>15</v>
      </c>
      <c r="Z79" s="1">
        <v>12</v>
      </c>
      <c r="AA79" s="1">
        <v>15</v>
      </c>
      <c r="AB79" s="1">
        <v>78</v>
      </c>
      <c r="AC79" s="1">
        <v>160</v>
      </c>
      <c r="AD79" s="1">
        <v>159</v>
      </c>
      <c r="AE79" s="1">
        <v>113</v>
      </c>
      <c r="AF79" s="1">
        <v>81</v>
      </c>
      <c r="AG79" s="1">
        <v>76</v>
      </c>
      <c r="AH79" s="1">
        <v>72</v>
      </c>
      <c r="AI79" s="1">
        <v>80</v>
      </c>
      <c r="AJ79" s="1">
        <v>98</v>
      </c>
      <c r="AK79" s="1">
        <v>137</v>
      </c>
      <c r="AL79" s="1">
        <v>158</v>
      </c>
      <c r="AM79" s="1">
        <v>94</v>
      </c>
      <c r="AN79" s="1">
        <v>18</v>
      </c>
      <c r="AO79" s="1">
        <v>11</v>
      </c>
      <c r="AP79" s="1">
        <v>15</v>
      </c>
      <c r="AQ79" s="11">
        <v>15</v>
      </c>
      <c r="AR79" s="1">
        <v>6</v>
      </c>
      <c r="AS79" s="1">
        <v>6</v>
      </c>
      <c r="AT79" s="1">
        <v>6</v>
      </c>
      <c r="AU79" s="1">
        <v>5</v>
      </c>
      <c r="AV79" s="1">
        <v>3</v>
      </c>
      <c r="AW79" s="1">
        <v>9</v>
      </c>
      <c r="AX79" s="1">
        <v>21</v>
      </c>
      <c r="AY79" s="1">
        <v>22</v>
      </c>
      <c r="AZ79" s="1">
        <v>43</v>
      </c>
      <c r="BA79" s="1">
        <v>70</v>
      </c>
      <c r="BB79" s="1">
        <v>76</v>
      </c>
      <c r="BC79" s="1">
        <v>47</v>
      </c>
      <c r="BD79" s="1">
        <v>22</v>
      </c>
      <c r="BE79" s="1">
        <v>21</v>
      </c>
      <c r="BF79" s="1">
        <v>13</v>
      </c>
      <c r="BG79" s="1">
        <v>3</v>
      </c>
      <c r="BH79" s="1">
        <v>5</v>
      </c>
      <c r="BI79" s="1">
        <v>6</v>
      </c>
      <c r="BJ79" s="1">
        <v>6</v>
      </c>
      <c r="BK79" s="1">
        <v>6</v>
      </c>
      <c r="BL79" s="10">
        <v>10</v>
      </c>
      <c r="BM79" s="1">
        <v>10</v>
      </c>
      <c r="BN79" s="1">
        <v>9</v>
      </c>
      <c r="BO79" s="1">
        <v>51</v>
      </c>
      <c r="BP79" s="1">
        <v>85</v>
      </c>
      <c r="BQ79" s="1">
        <v>74</v>
      </c>
      <c r="BR79" s="1">
        <v>87</v>
      </c>
      <c r="BS79" s="1">
        <v>84</v>
      </c>
      <c r="BT79" s="1">
        <v>64</v>
      </c>
      <c r="BU79" s="1">
        <v>72</v>
      </c>
      <c r="BV79" s="1">
        <v>54</v>
      </c>
      <c r="BW79" s="1">
        <v>89</v>
      </c>
      <c r="BX79" s="1">
        <v>69</v>
      </c>
      <c r="BY79" s="1">
        <v>43</v>
      </c>
      <c r="BZ79" s="1">
        <v>61</v>
      </c>
      <c r="CA79" s="1">
        <v>63</v>
      </c>
      <c r="CB79" s="1">
        <v>17</v>
      </c>
      <c r="CC79" s="1">
        <v>7</v>
      </c>
      <c r="CD79" s="1">
        <v>9</v>
      </c>
      <c r="CE79" s="11">
        <v>9</v>
      </c>
    </row>
    <row r="80" spans="1:83" ht="17" customHeight="1" x14ac:dyDescent="0.2">
      <c r="A80" s="66"/>
      <c r="C80" s="68"/>
      <c r="D80" s="10">
        <v>7</v>
      </c>
      <c r="E80" s="1">
        <v>7</v>
      </c>
      <c r="F80" s="1">
        <v>2</v>
      </c>
      <c r="G80" s="1">
        <v>25</v>
      </c>
      <c r="H80" s="1">
        <v>103</v>
      </c>
      <c r="I80" s="1">
        <v>127</v>
      </c>
      <c r="J80" s="1">
        <v>101</v>
      </c>
      <c r="K80" s="1">
        <v>74</v>
      </c>
      <c r="L80" s="1">
        <v>60</v>
      </c>
      <c r="M80" s="1">
        <v>60</v>
      </c>
      <c r="N80" s="1">
        <v>62</v>
      </c>
      <c r="O80" s="1">
        <v>78</v>
      </c>
      <c r="P80" s="1">
        <v>103</v>
      </c>
      <c r="Q80" s="1">
        <v>129</v>
      </c>
      <c r="R80" s="1">
        <v>106</v>
      </c>
      <c r="S80" s="1">
        <v>35</v>
      </c>
      <c r="T80" s="1">
        <v>3</v>
      </c>
      <c r="U80" s="1">
        <v>6</v>
      </c>
      <c r="V80" s="1">
        <v>6</v>
      </c>
      <c r="W80" s="1">
        <v>6</v>
      </c>
      <c r="X80" s="10">
        <v>15</v>
      </c>
      <c r="Y80" s="1">
        <v>10</v>
      </c>
      <c r="Z80" s="1">
        <v>38</v>
      </c>
      <c r="AA80" s="1">
        <v>131</v>
      </c>
      <c r="AB80" s="1">
        <v>133</v>
      </c>
      <c r="AC80" s="1">
        <v>99</v>
      </c>
      <c r="AD80" s="1">
        <v>78</v>
      </c>
      <c r="AE80" s="1">
        <v>70</v>
      </c>
      <c r="AF80" s="1">
        <v>67</v>
      </c>
      <c r="AG80" s="1">
        <v>74</v>
      </c>
      <c r="AH80" s="1">
        <v>79</v>
      </c>
      <c r="AI80" s="1">
        <v>77</v>
      </c>
      <c r="AJ80" s="1">
        <v>75</v>
      </c>
      <c r="AK80" s="1">
        <v>76</v>
      </c>
      <c r="AL80" s="1">
        <v>92</v>
      </c>
      <c r="AM80" s="1">
        <v>143</v>
      </c>
      <c r="AN80" s="1">
        <v>131</v>
      </c>
      <c r="AO80" s="1">
        <v>37</v>
      </c>
      <c r="AP80" s="1">
        <v>10</v>
      </c>
      <c r="AQ80" s="11">
        <v>15</v>
      </c>
      <c r="AR80" s="1">
        <v>6</v>
      </c>
      <c r="AS80" s="1">
        <v>6</v>
      </c>
      <c r="AT80" s="1">
        <v>5</v>
      </c>
      <c r="AU80" s="1">
        <v>7</v>
      </c>
      <c r="AV80" s="1">
        <v>49</v>
      </c>
      <c r="AW80" s="1">
        <v>76</v>
      </c>
      <c r="AX80" s="1">
        <v>80</v>
      </c>
      <c r="AY80" s="1">
        <v>95</v>
      </c>
      <c r="AZ80" s="1">
        <v>65</v>
      </c>
      <c r="BA80" s="1">
        <v>61</v>
      </c>
      <c r="BB80" s="1">
        <v>78</v>
      </c>
      <c r="BC80" s="1">
        <v>55</v>
      </c>
      <c r="BD80" s="1">
        <v>92</v>
      </c>
      <c r="BE80" s="1">
        <v>83</v>
      </c>
      <c r="BF80" s="1">
        <v>81</v>
      </c>
      <c r="BG80" s="1">
        <v>63</v>
      </c>
      <c r="BH80" s="1">
        <v>16</v>
      </c>
      <c r="BI80" s="1">
        <v>4</v>
      </c>
      <c r="BJ80" s="1">
        <v>6</v>
      </c>
      <c r="BK80" s="1">
        <v>6</v>
      </c>
      <c r="BL80" s="10">
        <v>9</v>
      </c>
      <c r="BM80" s="1">
        <v>5</v>
      </c>
      <c r="BN80" s="1">
        <v>52</v>
      </c>
      <c r="BO80" s="1">
        <v>115</v>
      </c>
      <c r="BP80" s="1">
        <v>52</v>
      </c>
      <c r="BQ80" s="1">
        <v>23</v>
      </c>
      <c r="BR80" s="1">
        <v>53</v>
      </c>
      <c r="BS80" s="1">
        <v>102</v>
      </c>
      <c r="BT80" s="1">
        <v>90</v>
      </c>
      <c r="BU80" s="1">
        <v>72</v>
      </c>
      <c r="BV80" s="1">
        <v>68</v>
      </c>
      <c r="BW80" s="1">
        <v>93</v>
      </c>
      <c r="BX80" s="1">
        <v>46</v>
      </c>
      <c r="BY80" s="1">
        <v>12</v>
      </c>
      <c r="BZ80" s="1">
        <v>36</v>
      </c>
      <c r="CA80" s="1">
        <v>94</v>
      </c>
      <c r="CB80" s="1">
        <v>68</v>
      </c>
      <c r="CC80" s="1">
        <v>14</v>
      </c>
      <c r="CD80" s="1">
        <v>6</v>
      </c>
      <c r="CE80" s="11">
        <v>9</v>
      </c>
    </row>
    <row r="81" spans="1:83" ht="17" customHeight="1" x14ac:dyDescent="0.2">
      <c r="A81" s="66"/>
      <c r="C81" s="68"/>
      <c r="D81" s="10">
        <v>7</v>
      </c>
      <c r="E81" s="1">
        <v>3</v>
      </c>
      <c r="F81" s="1">
        <v>48</v>
      </c>
      <c r="G81" s="1">
        <v>119</v>
      </c>
      <c r="H81" s="1">
        <v>87</v>
      </c>
      <c r="I81" s="1">
        <v>54</v>
      </c>
      <c r="J81" s="1">
        <v>58</v>
      </c>
      <c r="K81" s="1">
        <v>66</v>
      </c>
      <c r="L81" s="1">
        <v>57</v>
      </c>
      <c r="M81" s="1">
        <v>57</v>
      </c>
      <c r="N81" s="1">
        <v>48</v>
      </c>
      <c r="O81" s="1">
        <v>45</v>
      </c>
      <c r="P81" s="1">
        <v>54</v>
      </c>
      <c r="Q81" s="1">
        <v>52</v>
      </c>
      <c r="R81" s="1">
        <v>84</v>
      </c>
      <c r="S81" s="1">
        <v>131</v>
      </c>
      <c r="T81" s="1">
        <v>63</v>
      </c>
      <c r="U81" s="1">
        <v>3</v>
      </c>
      <c r="V81" s="1">
        <v>6</v>
      </c>
      <c r="W81" s="1">
        <v>6</v>
      </c>
      <c r="X81" s="10">
        <v>10</v>
      </c>
      <c r="Y81" s="1">
        <v>50</v>
      </c>
      <c r="Z81" s="1">
        <v>128</v>
      </c>
      <c r="AA81" s="1">
        <v>118</v>
      </c>
      <c r="AB81" s="1">
        <v>88</v>
      </c>
      <c r="AC81" s="1">
        <v>79</v>
      </c>
      <c r="AD81" s="1">
        <v>82</v>
      </c>
      <c r="AE81" s="1">
        <v>85</v>
      </c>
      <c r="AF81" s="1">
        <v>83</v>
      </c>
      <c r="AG81" s="1">
        <v>84</v>
      </c>
      <c r="AH81" s="1">
        <v>85</v>
      </c>
      <c r="AI81" s="1">
        <v>86</v>
      </c>
      <c r="AJ81" s="1">
        <v>81</v>
      </c>
      <c r="AK81" s="1">
        <v>84</v>
      </c>
      <c r="AL81" s="1">
        <v>81</v>
      </c>
      <c r="AM81" s="1">
        <v>80</v>
      </c>
      <c r="AN81" s="1">
        <v>113</v>
      </c>
      <c r="AO81" s="1">
        <v>135</v>
      </c>
      <c r="AP81" s="1">
        <v>52</v>
      </c>
      <c r="AQ81" s="11">
        <v>11</v>
      </c>
      <c r="AR81" s="1">
        <v>7</v>
      </c>
      <c r="AS81" s="1">
        <v>6</v>
      </c>
      <c r="AT81" s="1">
        <v>8</v>
      </c>
      <c r="AU81" s="1">
        <v>70</v>
      </c>
      <c r="AV81" s="1">
        <v>76</v>
      </c>
      <c r="AW81" s="1">
        <v>94</v>
      </c>
      <c r="AX81" s="1">
        <v>79</v>
      </c>
      <c r="AY81" s="1">
        <v>99</v>
      </c>
      <c r="AZ81" s="1">
        <v>88</v>
      </c>
      <c r="BA81" s="1">
        <v>66</v>
      </c>
      <c r="BB81" s="1">
        <v>75</v>
      </c>
      <c r="BC81" s="1">
        <v>81</v>
      </c>
      <c r="BD81" s="1">
        <v>101</v>
      </c>
      <c r="BE81" s="1">
        <v>74</v>
      </c>
      <c r="BF81" s="1">
        <v>92</v>
      </c>
      <c r="BG81" s="1">
        <v>79</v>
      </c>
      <c r="BH81" s="1">
        <v>87</v>
      </c>
      <c r="BI81" s="1">
        <v>18</v>
      </c>
      <c r="BJ81" s="1">
        <v>5</v>
      </c>
      <c r="BK81" s="1">
        <v>6</v>
      </c>
      <c r="BL81" s="10">
        <v>6</v>
      </c>
      <c r="BM81" s="1">
        <v>25</v>
      </c>
      <c r="BN81" s="1">
        <v>97</v>
      </c>
      <c r="BO81" s="1">
        <v>110</v>
      </c>
      <c r="BP81" s="1">
        <v>60</v>
      </c>
      <c r="BQ81" s="1">
        <v>26</v>
      </c>
      <c r="BR81" s="1">
        <v>62</v>
      </c>
      <c r="BS81" s="1">
        <v>93</v>
      </c>
      <c r="BT81" s="1">
        <v>94</v>
      </c>
      <c r="BU81" s="1">
        <v>77</v>
      </c>
      <c r="BV81" s="1">
        <v>83</v>
      </c>
      <c r="BW81" s="1">
        <v>75</v>
      </c>
      <c r="BX81" s="1">
        <v>87</v>
      </c>
      <c r="BY81" s="1">
        <v>64</v>
      </c>
      <c r="BZ81" s="1">
        <v>90</v>
      </c>
      <c r="CA81" s="1">
        <v>75</v>
      </c>
      <c r="CB81" s="1">
        <v>71</v>
      </c>
      <c r="CC81" s="1">
        <v>74</v>
      </c>
      <c r="CD81" s="1">
        <v>18</v>
      </c>
      <c r="CE81" s="11">
        <v>7</v>
      </c>
    </row>
    <row r="82" spans="1:83" ht="17" customHeight="1" x14ac:dyDescent="0.2">
      <c r="A82" s="66"/>
      <c r="C82" s="68"/>
      <c r="D82" s="10">
        <v>3</v>
      </c>
      <c r="E82" s="1">
        <v>37</v>
      </c>
      <c r="F82" s="1">
        <v>126</v>
      </c>
      <c r="G82" s="1">
        <v>56</v>
      </c>
      <c r="H82" s="1">
        <v>54</v>
      </c>
      <c r="I82" s="1">
        <v>80</v>
      </c>
      <c r="J82" s="1">
        <v>80</v>
      </c>
      <c r="K82" s="1">
        <v>80</v>
      </c>
      <c r="L82" s="1">
        <v>84</v>
      </c>
      <c r="M82" s="1">
        <v>76</v>
      </c>
      <c r="N82" s="1">
        <v>70</v>
      </c>
      <c r="O82" s="1">
        <v>76</v>
      </c>
      <c r="P82" s="1">
        <v>76</v>
      </c>
      <c r="Q82" s="1">
        <v>71</v>
      </c>
      <c r="R82" s="1">
        <v>52</v>
      </c>
      <c r="S82" s="1">
        <v>63</v>
      </c>
      <c r="T82" s="1">
        <v>124</v>
      </c>
      <c r="U82" s="1">
        <v>60</v>
      </c>
      <c r="V82" s="1">
        <v>2</v>
      </c>
      <c r="W82" s="1">
        <v>6</v>
      </c>
      <c r="X82" s="10">
        <v>40</v>
      </c>
      <c r="Y82" s="1">
        <v>138</v>
      </c>
      <c r="Z82" s="1">
        <v>105</v>
      </c>
      <c r="AA82" s="1">
        <v>82</v>
      </c>
      <c r="AB82" s="1">
        <v>74</v>
      </c>
      <c r="AC82" s="1">
        <v>85</v>
      </c>
      <c r="AD82" s="1">
        <v>88</v>
      </c>
      <c r="AE82" s="1">
        <v>87</v>
      </c>
      <c r="AF82" s="1">
        <v>88</v>
      </c>
      <c r="AG82" s="1">
        <v>88</v>
      </c>
      <c r="AH82" s="1">
        <v>81</v>
      </c>
      <c r="AI82" s="1">
        <v>89</v>
      </c>
      <c r="AJ82" s="1">
        <v>89</v>
      </c>
      <c r="AK82" s="1">
        <v>89</v>
      </c>
      <c r="AL82" s="1">
        <v>76</v>
      </c>
      <c r="AM82" s="1">
        <v>78</v>
      </c>
      <c r="AN82" s="1">
        <v>88</v>
      </c>
      <c r="AO82" s="1">
        <v>110</v>
      </c>
      <c r="AP82" s="1">
        <v>133</v>
      </c>
      <c r="AQ82" s="11">
        <v>43</v>
      </c>
      <c r="AR82" s="1">
        <v>6</v>
      </c>
      <c r="AS82" s="1">
        <v>3</v>
      </c>
      <c r="AT82" s="1">
        <v>45</v>
      </c>
      <c r="AU82" s="1">
        <v>93</v>
      </c>
      <c r="AV82" s="1">
        <v>59</v>
      </c>
      <c r="AW82" s="1">
        <v>92</v>
      </c>
      <c r="AX82" s="1">
        <v>108</v>
      </c>
      <c r="AY82" s="1">
        <v>78</v>
      </c>
      <c r="AZ82" s="1">
        <v>62</v>
      </c>
      <c r="BA82" s="1">
        <v>64</v>
      </c>
      <c r="BB82" s="1">
        <v>67</v>
      </c>
      <c r="BC82" s="1">
        <v>60</v>
      </c>
      <c r="BD82" s="1">
        <v>63</v>
      </c>
      <c r="BE82" s="1">
        <v>97</v>
      </c>
      <c r="BF82" s="1">
        <v>97</v>
      </c>
      <c r="BG82" s="1">
        <v>51</v>
      </c>
      <c r="BH82" s="1">
        <v>89</v>
      </c>
      <c r="BI82" s="1">
        <v>70</v>
      </c>
      <c r="BJ82" s="1">
        <v>4</v>
      </c>
      <c r="BK82" s="1">
        <v>6</v>
      </c>
      <c r="BL82" s="10">
        <v>16</v>
      </c>
      <c r="BM82" s="1">
        <v>85</v>
      </c>
      <c r="BN82" s="1">
        <v>80</v>
      </c>
      <c r="BO82" s="1">
        <v>66</v>
      </c>
      <c r="BP82" s="1">
        <v>107</v>
      </c>
      <c r="BQ82" s="1">
        <v>111</v>
      </c>
      <c r="BR82" s="1">
        <v>121</v>
      </c>
      <c r="BS82" s="1">
        <v>54</v>
      </c>
      <c r="BT82" s="1">
        <v>53</v>
      </c>
      <c r="BU82" s="1">
        <v>85</v>
      </c>
      <c r="BV82" s="1">
        <v>78</v>
      </c>
      <c r="BW82" s="1">
        <v>69</v>
      </c>
      <c r="BX82" s="1">
        <v>103</v>
      </c>
      <c r="BY82" s="1">
        <v>113</v>
      </c>
      <c r="BZ82" s="1">
        <v>88</v>
      </c>
      <c r="CA82" s="1">
        <v>39</v>
      </c>
      <c r="CB82" s="1">
        <v>51</v>
      </c>
      <c r="CC82" s="1">
        <v>107</v>
      </c>
      <c r="CD82" s="1">
        <v>75</v>
      </c>
      <c r="CE82" s="11">
        <v>10</v>
      </c>
    </row>
    <row r="83" spans="1:83" ht="17" customHeight="1" x14ac:dyDescent="0.2">
      <c r="A83" s="66"/>
      <c r="C83" s="68"/>
      <c r="D83" s="10">
        <v>5</v>
      </c>
      <c r="E83" s="1">
        <v>107</v>
      </c>
      <c r="F83" s="1">
        <v>74</v>
      </c>
      <c r="G83" s="1">
        <v>47</v>
      </c>
      <c r="H83" s="1">
        <v>74</v>
      </c>
      <c r="I83" s="1">
        <v>78</v>
      </c>
      <c r="J83" s="1">
        <v>87</v>
      </c>
      <c r="K83" s="1">
        <v>89</v>
      </c>
      <c r="L83" s="1">
        <v>90</v>
      </c>
      <c r="M83" s="1">
        <v>82</v>
      </c>
      <c r="N83" s="1">
        <v>79</v>
      </c>
      <c r="O83" s="1">
        <v>88</v>
      </c>
      <c r="P83" s="1">
        <v>83</v>
      </c>
      <c r="Q83" s="1">
        <v>81</v>
      </c>
      <c r="R83" s="1">
        <v>81</v>
      </c>
      <c r="S83" s="1">
        <v>65</v>
      </c>
      <c r="T83" s="1">
        <v>50</v>
      </c>
      <c r="U83" s="1">
        <v>124</v>
      </c>
      <c r="V83" s="1">
        <v>31</v>
      </c>
      <c r="W83" s="1">
        <v>4</v>
      </c>
      <c r="X83" s="10">
        <v>116</v>
      </c>
      <c r="Y83" s="1">
        <v>105</v>
      </c>
      <c r="Z83" s="1">
        <v>74</v>
      </c>
      <c r="AA83" s="1">
        <v>81</v>
      </c>
      <c r="AB83" s="1">
        <v>80</v>
      </c>
      <c r="AC83" s="1">
        <v>82</v>
      </c>
      <c r="AD83" s="1">
        <v>86</v>
      </c>
      <c r="AE83" s="1">
        <v>89</v>
      </c>
      <c r="AF83" s="1">
        <v>86</v>
      </c>
      <c r="AG83" s="1">
        <v>82</v>
      </c>
      <c r="AH83" s="1">
        <v>84</v>
      </c>
      <c r="AI83" s="1">
        <v>89</v>
      </c>
      <c r="AJ83" s="1">
        <v>90</v>
      </c>
      <c r="AK83" s="1">
        <v>87</v>
      </c>
      <c r="AL83" s="1">
        <v>84</v>
      </c>
      <c r="AM83" s="1">
        <v>83</v>
      </c>
      <c r="AN83" s="1">
        <v>65</v>
      </c>
      <c r="AO83" s="1">
        <v>67</v>
      </c>
      <c r="AP83" s="1">
        <v>83</v>
      </c>
      <c r="AQ83" s="11">
        <v>112</v>
      </c>
      <c r="AR83" s="1">
        <v>5</v>
      </c>
      <c r="AS83" s="1">
        <v>9</v>
      </c>
      <c r="AT83" s="1">
        <v>82</v>
      </c>
      <c r="AU83" s="1">
        <v>102</v>
      </c>
      <c r="AV83" s="1">
        <v>54</v>
      </c>
      <c r="AW83" s="1">
        <v>56</v>
      </c>
      <c r="AX83" s="1">
        <v>97</v>
      </c>
      <c r="AY83" s="1">
        <v>49</v>
      </c>
      <c r="AZ83" s="1">
        <v>35</v>
      </c>
      <c r="BA83" s="1">
        <v>50</v>
      </c>
      <c r="BB83" s="1">
        <v>55</v>
      </c>
      <c r="BC83" s="1">
        <v>27</v>
      </c>
      <c r="BD83" s="1">
        <v>27</v>
      </c>
      <c r="BE83" s="1">
        <v>87</v>
      </c>
      <c r="BF83" s="1">
        <v>61</v>
      </c>
      <c r="BG83" s="1">
        <v>46</v>
      </c>
      <c r="BH83" s="1">
        <v>96</v>
      </c>
      <c r="BI83" s="1">
        <v>96</v>
      </c>
      <c r="BJ83" s="1">
        <v>15</v>
      </c>
      <c r="BK83" s="1">
        <v>4</v>
      </c>
      <c r="BL83" s="10">
        <v>61</v>
      </c>
      <c r="BM83" s="1">
        <v>117</v>
      </c>
      <c r="BN83" s="1">
        <v>75</v>
      </c>
      <c r="BO83" s="1">
        <v>53</v>
      </c>
      <c r="BP83" s="1">
        <v>85</v>
      </c>
      <c r="BQ83" s="1">
        <v>101</v>
      </c>
      <c r="BR83" s="1">
        <v>125</v>
      </c>
      <c r="BS83" s="1">
        <v>72</v>
      </c>
      <c r="BT83" s="1">
        <v>86</v>
      </c>
      <c r="BU83" s="1">
        <v>96</v>
      </c>
      <c r="BV83" s="1">
        <v>61</v>
      </c>
      <c r="BW83" s="1">
        <v>55</v>
      </c>
      <c r="BX83" s="1">
        <v>106</v>
      </c>
      <c r="BY83" s="1">
        <v>83</v>
      </c>
      <c r="BZ83" s="1">
        <v>67</v>
      </c>
      <c r="CA83" s="1">
        <v>52</v>
      </c>
      <c r="CB83" s="1">
        <v>56</v>
      </c>
      <c r="CC83" s="1">
        <v>98</v>
      </c>
      <c r="CD83" s="1">
        <v>117</v>
      </c>
      <c r="CE83" s="11">
        <v>44</v>
      </c>
    </row>
    <row r="84" spans="1:83" ht="17" customHeight="1" x14ac:dyDescent="0.2">
      <c r="A84" s="66"/>
      <c r="C84" s="68"/>
      <c r="D84" s="10">
        <v>40</v>
      </c>
      <c r="E84" s="1">
        <v>119</v>
      </c>
      <c r="F84" s="1">
        <v>59</v>
      </c>
      <c r="G84" s="1">
        <v>80</v>
      </c>
      <c r="H84" s="1">
        <v>90</v>
      </c>
      <c r="I84" s="1">
        <v>86</v>
      </c>
      <c r="J84" s="1">
        <v>89</v>
      </c>
      <c r="K84" s="1">
        <v>94</v>
      </c>
      <c r="L84" s="1">
        <v>92</v>
      </c>
      <c r="M84" s="1">
        <v>85</v>
      </c>
      <c r="N84" s="1">
        <v>81</v>
      </c>
      <c r="O84" s="1">
        <v>87</v>
      </c>
      <c r="P84" s="1">
        <v>92</v>
      </c>
      <c r="Q84" s="1">
        <v>91</v>
      </c>
      <c r="R84" s="1">
        <v>80</v>
      </c>
      <c r="S84" s="1">
        <v>67</v>
      </c>
      <c r="T84" s="1">
        <v>50</v>
      </c>
      <c r="U84" s="1">
        <v>79</v>
      </c>
      <c r="V84" s="1">
        <v>99</v>
      </c>
      <c r="W84" s="1">
        <v>3</v>
      </c>
      <c r="X84" s="10">
        <v>109</v>
      </c>
      <c r="Y84" s="1">
        <v>68</v>
      </c>
      <c r="Z84" s="1">
        <v>66</v>
      </c>
      <c r="AA84" s="1">
        <v>83</v>
      </c>
      <c r="AB84" s="1">
        <v>87</v>
      </c>
      <c r="AC84" s="1">
        <v>87</v>
      </c>
      <c r="AD84" s="1">
        <v>89</v>
      </c>
      <c r="AE84" s="1">
        <v>91</v>
      </c>
      <c r="AF84" s="1">
        <v>84</v>
      </c>
      <c r="AG84" s="1">
        <v>84</v>
      </c>
      <c r="AH84" s="1">
        <v>87</v>
      </c>
      <c r="AI84" s="1">
        <v>90</v>
      </c>
      <c r="AJ84" s="1">
        <v>92</v>
      </c>
      <c r="AK84" s="1">
        <v>91</v>
      </c>
      <c r="AL84" s="1">
        <v>88</v>
      </c>
      <c r="AM84" s="1">
        <v>83</v>
      </c>
      <c r="AN84" s="1">
        <v>81</v>
      </c>
      <c r="AO84" s="1">
        <v>66</v>
      </c>
      <c r="AP84" s="1">
        <v>59</v>
      </c>
      <c r="AQ84" s="11">
        <v>92</v>
      </c>
      <c r="AR84" s="1">
        <v>3</v>
      </c>
      <c r="AS84" s="1">
        <v>26</v>
      </c>
      <c r="AT84" s="1">
        <v>104</v>
      </c>
      <c r="AU84" s="1">
        <v>87</v>
      </c>
      <c r="AV84" s="1">
        <v>44</v>
      </c>
      <c r="AW84" s="1">
        <v>67</v>
      </c>
      <c r="AX84" s="1">
        <v>68</v>
      </c>
      <c r="AY84" s="1">
        <v>61</v>
      </c>
      <c r="AZ84" s="1">
        <v>51</v>
      </c>
      <c r="BA84" s="1">
        <v>83</v>
      </c>
      <c r="BB84" s="1">
        <v>57</v>
      </c>
      <c r="BC84" s="1">
        <v>38</v>
      </c>
      <c r="BD84" s="1">
        <v>76</v>
      </c>
      <c r="BE84" s="1">
        <v>86</v>
      </c>
      <c r="BF84" s="1">
        <v>75</v>
      </c>
      <c r="BG84" s="1">
        <v>40</v>
      </c>
      <c r="BH84" s="1">
        <v>76</v>
      </c>
      <c r="BI84" s="1">
        <v>108</v>
      </c>
      <c r="BJ84" s="1">
        <v>31</v>
      </c>
      <c r="BK84" s="1">
        <v>3</v>
      </c>
      <c r="BL84" s="10">
        <v>106</v>
      </c>
      <c r="BM84" s="1">
        <v>123</v>
      </c>
      <c r="BN84" s="1">
        <v>67</v>
      </c>
      <c r="BO84" s="1">
        <v>62</v>
      </c>
      <c r="BP84" s="1">
        <v>59</v>
      </c>
      <c r="BQ84" s="1">
        <v>53</v>
      </c>
      <c r="BR84" s="1">
        <v>76</v>
      </c>
      <c r="BS84" s="1">
        <v>83</v>
      </c>
      <c r="BT84" s="1">
        <v>45</v>
      </c>
      <c r="BU84" s="1">
        <v>78</v>
      </c>
      <c r="BV84" s="1">
        <v>54</v>
      </c>
      <c r="BW84" s="1">
        <v>53</v>
      </c>
      <c r="BX84" s="1">
        <v>78</v>
      </c>
      <c r="BY84" s="1">
        <v>41</v>
      </c>
      <c r="BZ84" s="1">
        <v>46</v>
      </c>
      <c r="CA84" s="1">
        <v>48</v>
      </c>
      <c r="CB84" s="1">
        <v>53</v>
      </c>
      <c r="CC84" s="1">
        <v>61</v>
      </c>
      <c r="CD84" s="1">
        <v>119</v>
      </c>
      <c r="CE84" s="11">
        <v>84</v>
      </c>
    </row>
    <row r="85" spans="1:83" ht="17" customHeight="1" x14ac:dyDescent="0.2">
      <c r="A85" s="66"/>
      <c r="C85" s="68"/>
      <c r="D85" s="10">
        <v>81</v>
      </c>
      <c r="E85" s="1">
        <v>92</v>
      </c>
      <c r="F85" s="1">
        <v>68</v>
      </c>
      <c r="G85" s="1">
        <v>83</v>
      </c>
      <c r="H85" s="1">
        <v>92</v>
      </c>
      <c r="I85" s="1">
        <v>91</v>
      </c>
      <c r="J85" s="1">
        <v>90</v>
      </c>
      <c r="K85" s="1">
        <v>93</v>
      </c>
      <c r="L85" s="1">
        <v>89</v>
      </c>
      <c r="M85" s="1">
        <v>86</v>
      </c>
      <c r="N85" s="1">
        <v>85</v>
      </c>
      <c r="O85" s="1">
        <v>86</v>
      </c>
      <c r="P85" s="1">
        <v>91</v>
      </c>
      <c r="Q85" s="1">
        <v>92</v>
      </c>
      <c r="R85" s="1">
        <v>91</v>
      </c>
      <c r="S85" s="1">
        <v>87</v>
      </c>
      <c r="T85" s="1">
        <v>73</v>
      </c>
      <c r="U85" s="1">
        <v>60</v>
      </c>
      <c r="V85" s="1">
        <v>122</v>
      </c>
      <c r="W85" s="1">
        <v>23</v>
      </c>
      <c r="X85" s="10">
        <v>63</v>
      </c>
      <c r="Y85" s="1">
        <v>72</v>
      </c>
      <c r="Z85" s="1">
        <v>81</v>
      </c>
      <c r="AA85" s="1">
        <v>87</v>
      </c>
      <c r="AB85" s="1">
        <v>88</v>
      </c>
      <c r="AC85" s="1">
        <v>90</v>
      </c>
      <c r="AD85" s="1">
        <v>92</v>
      </c>
      <c r="AE85" s="1">
        <v>94</v>
      </c>
      <c r="AF85" s="1">
        <v>91</v>
      </c>
      <c r="AG85" s="1">
        <v>87</v>
      </c>
      <c r="AH85" s="1">
        <v>85</v>
      </c>
      <c r="AI85" s="1">
        <v>93</v>
      </c>
      <c r="AJ85" s="1">
        <v>95</v>
      </c>
      <c r="AK85" s="1">
        <v>92</v>
      </c>
      <c r="AL85" s="1">
        <v>88</v>
      </c>
      <c r="AM85" s="1">
        <v>86</v>
      </c>
      <c r="AN85" s="1">
        <v>82</v>
      </c>
      <c r="AO85" s="1">
        <v>83</v>
      </c>
      <c r="AP85" s="1">
        <v>76</v>
      </c>
      <c r="AQ85" s="11">
        <v>67</v>
      </c>
      <c r="AR85" s="1">
        <v>2</v>
      </c>
      <c r="AS85" s="1">
        <v>44</v>
      </c>
      <c r="AT85" s="1">
        <v>107</v>
      </c>
      <c r="AU85" s="1">
        <v>61</v>
      </c>
      <c r="AV85" s="1">
        <v>48</v>
      </c>
      <c r="AW85" s="1">
        <v>47</v>
      </c>
      <c r="AX85" s="1">
        <v>41</v>
      </c>
      <c r="AY85" s="1">
        <v>58</v>
      </c>
      <c r="AZ85" s="1">
        <v>64</v>
      </c>
      <c r="BA85" s="1">
        <v>17</v>
      </c>
      <c r="BB85" s="1">
        <v>12</v>
      </c>
      <c r="BC85" s="1">
        <v>54</v>
      </c>
      <c r="BD85" s="1">
        <v>62</v>
      </c>
      <c r="BE85" s="1">
        <v>47</v>
      </c>
      <c r="BF85" s="1">
        <v>48</v>
      </c>
      <c r="BG85" s="1">
        <v>54</v>
      </c>
      <c r="BH85" s="1">
        <v>62</v>
      </c>
      <c r="BI85" s="1">
        <v>108</v>
      </c>
      <c r="BJ85" s="1">
        <v>44</v>
      </c>
      <c r="BK85" s="1">
        <v>2</v>
      </c>
      <c r="BL85" s="10">
        <v>121</v>
      </c>
      <c r="BM85" s="1">
        <v>89</v>
      </c>
      <c r="BN85" s="1">
        <v>56</v>
      </c>
      <c r="BO85" s="1">
        <v>56</v>
      </c>
      <c r="BP85" s="1">
        <v>54</v>
      </c>
      <c r="BQ85" s="1">
        <v>55</v>
      </c>
      <c r="BR85" s="1">
        <v>51</v>
      </c>
      <c r="BS85" s="1">
        <v>67</v>
      </c>
      <c r="BT85" s="1">
        <v>30</v>
      </c>
      <c r="BU85" s="1">
        <v>16</v>
      </c>
      <c r="BV85" s="1">
        <v>44</v>
      </c>
      <c r="BW85" s="1">
        <v>63</v>
      </c>
      <c r="BX85" s="1">
        <v>55</v>
      </c>
      <c r="BY85" s="1">
        <v>50</v>
      </c>
      <c r="BZ85" s="1">
        <v>56</v>
      </c>
      <c r="CA85" s="1">
        <v>54</v>
      </c>
      <c r="CB85" s="1">
        <v>54</v>
      </c>
      <c r="CC85" s="1">
        <v>56</v>
      </c>
      <c r="CD85" s="1">
        <v>97</v>
      </c>
      <c r="CE85" s="11">
        <v>103</v>
      </c>
    </row>
    <row r="86" spans="1:83" ht="17" customHeight="1" x14ac:dyDescent="0.2">
      <c r="A86" s="66"/>
      <c r="C86" s="68"/>
      <c r="D86" s="10">
        <v>103</v>
      </c>
      <c r="E86" s="1">
        <v>80</v>
      </c>
      <c r="F86" s="1">
        <v>72</v>
      </c>
      <c r="G86" s="1">
        <v>90</v>
      </c>
      <c r="H86" s="1">
        <v>91</v>
      </c>
      <c r="I86" s="1">
        <v>84</v>
      </c>
      <c r="J86" s="1">
        <v>88</v>
      </c>
      <c r="K86" s="1">
        <v>92</v>
      </c>
      <c r="L86" s="1">
        <v>89</v>
      </c>
      <c r="M86" s="1">
        <v>59</v>
      </c>
      <c r="N86" s="1">
        <v>55</v>
      </c>
      <c r="O86" s="1">
        <v>74</v>
      </c>
      <c r="P86" s="1">
        <v>91</v>
      </c>
      <c r="Q86" s="1">
        <v>90</v>
      </c>
      <c r="R86" s="1">
        <v>91</v>
      </c>
      <c r="S86" s="1">
        <v>91</v>
      </c>
      <c r="T86" s="1">
        <v>77</v>
      </c>
      <c r="U86" s="1">
        <v>56</v>
      </c>
      <c r="V86" s="1">
        <v>118</v>
      </c>
      <c r="W86" s="1">
        <v>56</v>
      </c>
      <c r="X86" s="10">
        <v>53</v>
      </c>
      <c r="Y86" s="1">
        <v>81</v>
      </c>
      <c r="Z86" s="1">
        <v>84</v>
      </c>
      <c r="AA86" s="1">
        <v>89</v>
      </c>
      <c r="AB86" s="1">
        <v>89</v>
      </c>
      <c r="AC86" s="1">
        <v>89</v>
      </c>
      <c r="AD86" s="1">
        <v>91</v>
      </c>
      <c r="AE86" s="1">
        <v>97</v>
      </c>
      <c r="AF86" s="1">
        <v>88</v>
      </c>
      <c r="AG86" s="1">
        <v>80</v>
      </c>
      <c r="AH86" s="1">
        <v>84</v>
      </c>
      <c r="AI86" s="1">
        <v>93</v>
      </c>
      <c r="AJ86" s="1">
        <v>96</v>
      </c>
      <c r="AK86" s="1">
        <v>90</v>
      </c>
      <c r="AL86" s="1">
        <v>88</v>
      </c>
      <c r="AM86" s="1">
        <v>87</v>
      </c>
      <c r="AN86" s="1">
        <v>81</v>
      </c>
      <c r="AO86" s="1">
        <v>78</v>
      </c>
      <c r="AP86" s="1">
        <v>78</v>
      </c>
      <c r="AQ86" s="11">
        <v>64</v>
      </c>
      <c r="AR86" s="1">
        <v>2</v>
      </c>
      <c r="AS86" s="1">
        <v>58</v>
      </c>
      <c r="AT86" s="1">
        <v>100</v>
      </c>
      <c r="AU86" s="1">
        <v>54</v>
      </c>
      <c r="AV86" s="1">
        <v>48</v>
      </c>
      <c r="AW86" s="1">
        <v>54</v>
      </c>
      <c r="AX86" s="1">
        <v>52</v>
      </c>
      <c r="AY86" s="1">
        <v>67</v>
      </c>
      <c r="AZ86" s="1">
        <v>79</v>
      </c>
      <c r="BA86" s="1">
        <v>41</v>
      </c>
      <c r="BB86" s="1">
        <v>18</v>
      </c>
      <c r="BC86" s="1">
        <v>74</v>
      </c>
      <c r="BD86" s="1">
        <v>55</v>
      </c>
      <c r="BE86" s="1">
        <v>51</v>
      </c>
      <c r="BF86" s="1">
        <v>49</v>
      </c>
      <c r="BG86" s="1">
        <v>43</v>
      </c>
      <c r="BH86" s="1">
        <v>62</v>
      </c>
      <c r="BI86" s="1">
        <v>108</v>
      </c>
      <c r="BJ86" s="1">
        <v>52</v>
      </c>
      <c r="BK86" s="1">
        <v>1</v>
      </c>
      <c r="BL86" s="10">
        <v>111</v>
      </c>
      <c r="BM86" s="1">
        <v>70</v>
      </c>
      <c r="BN86" s="1">
        <v>55</v>
      </c>
      <c r="BO86" s="1">
        <v>60</v>
      </c>
      <c r="BP86" s="1">
        <v>67</v>
      </c>
      <c r="BQ86" s="1">
        <v>65</v>
      </c>
      <c r="BR86" s="1">
        <v>57</v>
      </c>
      <c r="BS86" s="1">
        <v>49</v>
      </c>
      <c r="BT86" s="1">
        <v>52</v>
      </c>
      <c r="BU86" s="1">
        <v>67</v>
      </c>
      <c r="BV86" s="1">
        <v>67</v>
      </c>
      <c r="BW86" s="1">
        <v>52</v>
      </c>
      <c r="BX86" s="1">
        <v>51</v>
      </c>
      <c r="BY86" s="1">
        <v>61</v>
      </c>
      <c r="BZ86" s="1">
        <v>63</v>
      </c>
      <c r="CA86" s="1">
        <v>62</v>
      </c>
      <c r="CB86" s="1">
        <v>55</v>
      </c>
      <c r="CC86" s="1">
        <v>52</v>
      </c>
      <c r="CD86" s="1">
        <v>71</v>
      </c>
      <c r="CE86" s="11">
        <v>101</v>
      </c>
    </row>
    <row r="87" spans="1:83" ht="17" customHeight="1" x14ac:dyDescent="0.2">
      <c r="A87" s="66"/>
      <c r="C87" s="68"/>
      <c r="D87" s="10">
        <v>97</v>
      </c>
      <c r="E87" s="1">
        <v>74</v>
      </c>
      <c r="F87" s="1">
        <v>60</v>
      </c>
      <c r="G87" s="1">
        <v>89</v>
      </c>
      <c r="H87" s="1">
        <v>83</v>
      </c>
      <c r="I87" s="1">
        <v>80</v>
      </c>
      <c r="J87" s="1">
        <v>92</v>
      </c>
      <c r="K87" s="1">
        <v>91</v>
      </c>
      <c r="L87" s="1">
        <v>89</v>
      </c>
      <c r="M87" s="1">
        <v>77</v>
      </c>
      <c r="N87" s="1">
        <v>70</v>
      </c>
      <c r="O87" s="1">
        <v>87</v>
      </c>
      <c r="P87" s="1">
        <v>91</v>
      </c>
      <c r="Q87" s="1">
        <v>93</v>
      </c>
      <c r="R87" s="1">
        <v>86</v>
      </c>
      <c r="S87" s="1">
        <v>90</v>
      </c>
      <c r="T87" s="1">
        <v>68</v>
      </c>
      <c r="U87" s="1">
        <v>50</v>
      </c>
      <c r="V87" s="1">
        <v>114</v>
      </c>
      <c r="W87" s="1">
        <v>77</v>
      </c>
      <c r="X87" s="10">
        <v>62</v>
      </c>
      <c r="Y87" s="1">
        <v>77</v>
      </c>
      <c r="Z87" s="1">
        <v>85</v>
      </c>
      <c r="AA87" s="1">
        <v>88</v>
      </c>
      <c r="AB87" s="1">
        <v>84</v>
      </c>
      <c r="AC87" s="1">
        <v>87</v>
      </c>
      <c r="AD87" s="1">
        <v>93</v>
      </c>
      <c r="AE87" s="1">
        <v>94</v>
      </c>
      <c r="AF87" s="1">
        <v>89</v>
      </c>
      <c r="AG87" s="1">
        <v>43</v>
      </c>
      <c r="AH87" s="1">
        <v>58</v>
      </c>
      <c r="AI87" s="1">
        <v>91</v>
      </c>
      <c r="AJ87" s="1">
        <v>94</v>
      </c>
      <c r="AK87" s="1">
        <v>94</v>
      </c>
      <c r="AL87" s="1">
        <v>85</v>
      </c>
      <c r="AM87" s="1">
        <v>84</v>
      </c>
      <c r="AN87" s="1">
        <v>80</v>
      </c>
      <c r="AO87" s="1">
        <v>77</v>
      </c>
      <c r="AP87" s="1">
        <v>78</v>
      </c>
      <c r="AQ87" s="11">
        <v>59</v>
      </c>
      <c r="AR87" s="1">
        <v>1</v>
      </c>
      <c r="AS87" s="1">
        <v>67</v>
      </c>
      <c r="AT87" s="1">
        <v>95</v>
      </c>
      <c r="AU87" s="1">
        <v>47</v>
      </c>
      <c r="AV87" s="1">
        <v>55</v>
      </c>
      <c r="AW87" s="1">
        <v>61</v>
      </c>
      <c r="AX87" s="1">
        <v>57</v>
      </c>
      <c r="AY87" s="1">
        <v>56</v>
      </c>
      <c r="AZ87" s="1">
        <v>74</v>
      </c>
      <c r="BA87" s="1">
        <v>91</v>
      </c>
      <c r="BB87" s="1">
        <v>101</v>
      </c>
      <c r="BC87" s="1">
        <v>74</v>
      </c>
      <c r="BD87" s="1">
        <v>56</v>
      </c>
      <c r="BE87" s="1">
        <v>56</v>
      </c>
      <c r="BF87" s="1">
        <v>58</v>
      </c>
      <c r="BG87" s="1">
        <v>46</v>
      </c>
      <c r="BH87" s="1">
        <v>45</v>
      </c>
      <c r="BI87" s="1">
        <v>103</v>
      </c>
      <c r="BJ87" s="1">
        <v>56</v>
      </c>
      <c r="BK87" s="1">
        <v>1</v>
      </c>
      <c r="BL87" s="10">
        <v>123</v>
      </c>
      <c r="BM87" s="1">
        <v>73</v>
      </c>
      <c r="BN87" s="1">
        <v>59</v>
      </c>
      <c r="BO87" s="1">
        <v>62</v>
      </c>
      <c r="BP87" s="1">
        <v>70</v>
      </c>
      <c r="BQ87" s="1">
        <v>71</v>
      </c>
      <c r="BR87" s="1">
        <v>64</v>
      </c>
      <c r="BS87" s="1">
        <v>56</v>
      </c>
      <c r="BT87" s="1">
        <v>71</v>
      </c>
      <c r="BU87" s="1">
        <v>85</v>
      </c>
      <c r="BV87" s="1">
        <v>82</v>
      </c>
      <c r="BW87" s="1">
        <v>66</v>
      </c>
      <c r="BX87" s="1">
        <v>57</v>
      </c>
      <c r="BY87" s="1">
        <v>64</v>
      </c>
      <c r="BZ87" s="1">
        <v>68</v>
      </c>
      <c r="CA87" s="1">
        <v>65</v>
      </c>
      <c r="CB87" s="1">
        <v>60</v>
      </c>
      <c r="CC87" s="1">
        <v>48</v>
      </c>
      <c r="CD87" s="1">
        <v>72</v>
      </c>
      <c r="CE87" s="11">
        <v>111</v>
      </c>
    </row>
    <row r="88" spans="1:83" ht="17" customHeight="1" x14ac:dyDescent="0.2">
      <c r="A88" s="66"/>
      <c r="C88" s="68"/>
      <c r="D88" s="10">
        <v>86</v>
      </c>
      <c r="E88" s="1">
        <v>63</v>
      </c>
      <c r="F88" s="1">
        <v>56</v>
      </c>
      <c r="G88" s="1">
        <v>89</v>
      </c>
      <c r="H88" s="1">
        <v>69</v>
      </c>
      <c r="I88" s="1">
        <v>78</v>
      </c>
      <c r="J88" s="1">
        <v>90</v>
      </c>
      <c r="K88" s="1">
        <v>88</v>
      </c>
      <c r="L88" s="1">
        <v>89</v>
      </c>
      <c r="M88" s="1">
        <v>77</v>
      </c>
      <c r="N88" s="1">
        <v>84</v>
      </c>
      <c r="O88" s="1">
        <v>97</v>
      </c>
      <c r="P88" s="1">
        <v>91</v>
      </c>
      <c r="Q88" s="1">
        <v>94</v>
      </c>
      <c r="R88" s="1">
        <v>91</v>
      </c>
      <c r="S88" s="1">
        <v>74</v>
      </c>
      <c r="T88" s="1">
        <v>70</v>
      </c>
      <c r="U88" s="1">
        <v>41</v>
      </c>
      <c r="V88" s="1">
        <v>105</v>
      </c>
      <c r="W88" s="1">
        <v>78</v>
      </c>
      <c r="X88" s="10">
        <v>58</v>
      </c>
      <c r="Y88" s="1">
        <v>76</v>
      </c>
      <c r="Z88" s="1">
        <v>83</v>
      </c>
      <c r="AA88" s="1">
        <v>84</v>
      </c>
      <c r="AB88" s="1">
        <v>76</v>
      </c>
      <c r="AC88" s="1">
        <v>90</v>
      </c>
      <c r="AD88" s="1">
        <v>97</v>
      </c>
      <c r="AE88" s="1">
        <v>95</v>
      </c>
      <c r="AF88" s="1">
        <v>95</v>
      </c>
      <c r="AG88" s="1">
        <v>67</v>
      </c>
      <c r="AH88" s="1">
        <v>78</v>
      </c>
      <c r="AI88" s="1">
        <v>95</v>
      </c>
      <c r="AJ88" s="1">
        <v>96</v>
      </c>
      <c r="AK88" s="1">
        <v>97</v>
      </c>
      <c r="AL88" s="1">
        <v>88</v>
      </c>
      <c r="AM88" s="1">
        <v>78</v>
      </c>
      <c r="AN88" s="1">
        <v>82</v>
      </c>
      <c r="AO88" s="1">
        <v>77</v>
      </c>
      <c r="AP88" s="1">
        <v>71</v>
      </c>
      <c r="AQ88" s="11">
        <v>47</v>
      </c>
      <c r="AR88" s="1">
        <v>4</v>
      </c>
      <c r="AS88" s="1">
        <v>85</v>
      </c>
      <c r="AT88" s="1">
        <v>74</v>
      </c>
      <c r="AU88" s="1">
        <v>28</v>
      </c>
      <c r="AV88" s="1">
        <v>61</v>
      </c>
      <c r="AW88" s="1">
        <v>65</v>
      </c>
      <c r="AX88" s="1">
        <v>62</v>
      </c>
      <c r="AY88" s="1">
        <v>52</v>
      </c>
      <c r="AZ88" s="1">
        <v>67</v>
      </c>
      <c r="BA88" s="1">
        <v>80</v>
      </c>
      <c r="BB88" s="1">
        <v>88</v>
      </c>
      <c r="BC88" s="1">
        <v>59</v>
      </c>
      <c r="BD88" s="1">
        <v>55</v>
      </c>
      <c r="BE88" s="1">
        <v>60</v>
      </c>
      <c r="BF88" s="1">
        <v>59</v>
      </c>
      <c r="BG88" s="1">
        <v>51</v>
      </c>
      <c r="BH88" s="1">
        <v>20</v>
      </c>
      <c r="BI88" s="1">
        <v>79</v>
      </c>
      <c r="BJ88" s="1">
        <v>59</v>
      </c>
      <c r="BK88" s="1">
        <v>1</v>
      </c>
      <c r="BL88" s="10">
        <v>107</v>
      </c>
      <c r="BM88" s="1">
        <v>63</v>
      </c>
      <c r="BN88" s="1">
        <v>60</v>
      </c>
      <c r="BO88" s="1">
        <v>68</v>
      </c>
      <c r="BP88" s="1">
        <v>72</v>
      </c>
      <c r="BQ88" s="1">
        <v>56</v>
      </c>
      <c r="BR88" s="1">
        <v>59</v>
      </c>
      <c r="BS88" s="1">
        <v>67</v>
      </c>
      <c r="BT88" s="1">
        <v>92</v>
      </c>
      <c r="BU88" s="1">
        <v>73</v>
      </c>
      <c r="BV88" s="1">
        <v>83</v>
      </c>
      <c r="BW88" s="1">
        <v>76</v>
      </c>
      <c r="BX88" s="1">
        <v>60</v>
      </c>
      <c r="BY88" s="1">
        <v>61</v>
      </c>
      <c r="BZ88" s="1">
        <v>61</v>
      </c>
      <c r="CA88" s="1">
        <v>67</v>
      </c>
      <c r="CB88" s="1">
        <v>62</v>
      </c>
      <c r="CC88" s="1">
        <v>55</v>
      </c>
      <c r="CD88" s="1">
        <v>56</v>
      </c>
      <c r="CE88" s="11">
        <v>104</v>
      </c>
    </row>
    <row r="89" spans="1:83" ht="17" customHeight="1" x14ac:dyDescent="0.2">
      <c r="A89" s="66"/>
      <c r="C89" s="68"/>
      <c r="D89" s="10">
        <v>79</v>
      </c>
      <c r="E89" s="1">
        <v>91</v>
      </c>
      <c r="F89" s="1">
        <v>63</v>
      </c>
      <c r="G89" s="1">
        <v>82</v>
      </c>
      <c r="H89" s="1">
        <v>85</v>
      </c>
      <c r="I89" s="1">
        <v>82</v>
      </c>
      <c r="J89" s="1">
        <v>81</v>
      </c>
      <c r="K89" s="1">
        <v>67</v>
      </c>
      <c r="L89" s="1">
        <v>81</v>
      </c>
      <c r="M89" s="1">
        <v>79</v>
      </c>
      <c r="N89" s="1">
        <v>101</v>
      </c>
      <c r="O89" s="1">
        <v>82</v>
      </c>
      <c r="P89" s="1">
        <v>69</v>
      </c>
      <c r="Q89" s="1">
        <v>76</v>
      </c>
      <c r="R89" s="1">
        <v>63</v>
      </c>
      <c r="S89" s="1">
        <v>67</v>
      </c>
      <c r="T89" s="1">
        <v>80</v>
      </c>
      <c r="U89" s="1">
        <v>34</v>
      </c>
      <c r="V89" s="1">
        <v>107</v>
      </c>
      <c r="W89" s="1">
        <v>62</v>
      </c>
      <c r="X89" s="10">
        <v>49</v>
      </c>
      <c r="Y89" s="1">
        <v>74</v>
      </c>
      <c r="Z89" s="1">
        <v>82</v>
      </c>
      <c r="AA89" s="1">
        <v>59</v>
      </c>
      <c r="AB89" s="1">
        <v>81</v>
      </c>
      <c r="AC89" s="1">
        <v>90</v>
      </c>
      <c r="AD89" s="1">
        <v>94</v>
      </c>
      <c r="AE89" s="1">
        <v>96</v>
      </c>
      <c r="AF89" s="1">
        <v>98</v>
      </c>
      <c r="AG89" s="1">
        <v>91</v>
      </c>
      <c r="AH89" s="1">
        <v>87</v>
      </c>
      <c r="AI89" s="1">
        <v>98</v>
      </c>
      <c r="AJ89" s="1">
        <v>98</v>
      </c>
      <c r="AK89" s="1">
        <v>95</v>
      </c>
      <c r="AL89" s="1">
        <v>89</v>
      </c>
      <c r="AM89" s="1">
        <v>81</v>
      </c>
      <c r="AN89" s="1">
        <v>62</v>
      </c>
      <c r="AO89" s="1">
        <v>75</v>
      </c>
      <c r="AP89" s="1">
        <v>65</v>
      </c>
      <c r="AQ89" s="11">
        <v>54</v>
      </c>
      <c r="AR89" s="1">
        <v>24</v>
      </c>
      <c r="AS89" s="1">
        <v>98</v>
      </c>
      <c r="AT89" s="1">
        <v>54</v>
      </c>
      <c r="AU89" s="1">
        <v>49</v>
      </c>
      <c r="AV89" s="1">
        <v>61</v>
      </c>
      <c r="AW89" s="1">
        <v>59</v>
      </c>
      <c r="AX89" s="1">
        <v>54</v>
      </c>
      <c r="AY89" s="1">
        <v>48</v>
      </c>
      <c r="AZ89" s="1">
        <v>45</v>
      </c>
      <c r="BA89" s="1">
        <v>52</v>
      </c>
      <c r="BB89" s="1">
        <v>52</v>
      </c>
      <c r="BC89" s="1">
        <v>41</v>
      </c>
      <c r="BD89" s="1">
        <v>51</v>
      </c>
      <c r="BE89" s="1">
        <v>58</v>
      </c>
      <c r="BF89" s="1">
        <v>54</v>
      </c>
      <c r="BG89" s="1">
        <v>54</v>
      </c>
      <c r="BH89" s="1">
        <v>41</v>
      </c>
      <c r="BI89" s="1">
        <v>55</v>
      </c>
      <c r="BJ89" s="1">
        <v>85</v>
      </c>
      <c r="BK89" s="1">
        <v>9</v>
      </c>
      <c r="BL89" s="10">
        <v>106</v>
      </c>
      <c r="BM89" s="1">
        <v>57</v>
      </c>
      <c r="BN89" s="1">
        <v>61</v>
      </c>
      <c r="BO89" s="1">
        <v>68</v>
      </c>
      <c r="BP89" s="1">
        <v>70</v>
      </c>
      <c r="BQ89" s="1">
        <v>64</v>
      </c>
      <c r="BR89" s="1">
        <v>65</v>
      </c>
      <c r="BS89" s="1">
        <v>58</v>
      </c>
      <c r="BT89" s="1">
        <v>48</v>
      </c>
      <c r="BU89" s="1">
        <v>40</v>
      </c>
      <c r="BV89" s="1">
        <v>37</v>
      </c>
      <c r="BW89" s="1">
        <v>43</v>
      </c>
      <c r="BX89" s="1">
        <v>59</v>
      </c>
      <c r="BY89" s="1">
        <v>66</v>
      </c>
      <c r="BZ89" s="1">
        <v>63</v>
      </c>
      <c r="CA89" s="1">
        <v>65</v>
      </c>
      <c r="CB89" s="1">
        <v>69</v>
      </c>
      <c r="CC89" s="1">
        <v>65</v>
      </c>
      <c r="CD89" s="1">
        <v>57</v>
      </c>
      <c r="CE89" s="11">
        <v>93</v>
      </c>
    </row>
    <row r="90" spans="1:83" ht="17" customHeight="1" x14ac:dyDescent="0.2">
      <c r="A90" s="66"/>
      <c r="C90" s="68"/>
      <c r="D90" s="10">
        <v>59</v>
      </c>
      <c r="E90" s="1">
        <v>117</v>
      </c>
      <c r="F90" s="1">
        <v>52</v>
      </c>
      <c r="G90" s="1">
        <v>84</v>
      </c>
      <c r="H90" s="1">
        <v>86</v>
      </c>
      <c r="I90" s="1">
        <v>85</v>
      </c>
      <c r="J90" s="1">
        <v>78</v>
      </c>
      <c r="K90" s="1">
        <v>75</v>
      </c>
      <c r="L90" s="1">
        <v>86</v>
      </c>
      <c r="M90" s="1">
        <v>116</v>
      </c>
      <c r="N90" s="1">
        <v>125</v>
      </c>
      <c r="O90" s="1">
        <v>85</v>
      </c>
      <c r="P90" s="1">
        <v>57</v>
      </c>
      <c r="Q90" s="1">
        <v>64</v>
      </c>
      <c r="R90" s="1">
        <v>69</v>
      </c>
      <c r="S90" s="1">
        <v>84</v>
      </c>
      <c r="T90" s="1">
        <v>69</v>
      </c>
      <c r="U90" s="1">
        <v>43</v>
      </c>
      <c r="V90" s="1">
        <v>136</v>
      </c>
      <c r="W90" s="1">
        <v>41</v>
      </c>
      <c r="X90" s="10">
        <v>55</v>
      </c>
      <c r="Y90" s="1">
        <v>68</v>
      </c>
      <c r="Z90" s="1">
        <v>86</v>
      </c>
      <c r="AA90" s="1">
        <v>66</v>
      </c>
      <c r="AB90" s="1">
        <v>76</v>
      </c>
      <c r="AC90" s="1">
        <v>89</v>
      </c>
      <c r="AD90" s="1">
        <v>92</v>
      </c>
      <c r="AE90" s="1">
        <v>88</v>
      </c>
      <c r="AF90" s="1">
        <v>73</v>
      </c>
      <c r="AG90" s="1">
        <v>77</v>
      </c>
      <c r="AH90" s="1">
        <v>78</v>
      </c>
      <c r="AI90" s="1">
        <v>77</v>
      </c>
      <c r="AJ90" s="1">
        <v>70</v>
      </c>
      <c r="AK90" s="1">
        <v>84</v>
      </c>
      <c r="AL90" s="1">
        <v>89</v>
      </c>
      <c r="AM90" s="1">
        <v>80</v>
      </c>
      <c r="AN90" s="1">
        <v>60</v>
      </c>
      <c r="AO90" s="1">
        <v>80</v>
      </c>
      <c r="AP90" s="1">
        <v>63</v>
      </c>
      <c r="AQ90" s="11">
        <v>72</v>
      </c>
      <c r="AR90" s="1">
        <v>13</v>
      </c>
      <c r="AS90" s="1">
        <v>70</v>
      </c>
      <c r="AT90" s="1">
        <v>42</v>
      </c>
      <c r="AU90" s="1">
        <v>57</v>
      </c>
      <c r="AV90" s="1">
        <v>45</v>
      </c>
      <c r="AW90" s="1">
        <v>42</v>
      </c>
      <c r="AX90" s="1">
        <v>51</v>
      </c>
      <c r="AY90" s="1">
        <v>40</v>
      </c>
      <c r="AZ90" s="1">
        <v>60</v>
      </c>
      <c r="BA90" s="1">
        <v>65</v>
      </c>
      <c r="BB90" s="1">
        <v>65</v>
      </c>
      <c r="BC90" s="1">
        <v>56</v>
      </c>
      <c r="BD90" s="1">
        <v>47</v>
      </c>
      <c r="BE90" s="1">
        <v>59</v>
      </c>
      <c r="BF90" s="1">
        <v>36</v>
      </c>
      <c r="BG90" s="1">
        <v>51</v>
      </c>
      <c r="BH90" s="1">
        <v>56</v>
      </c>
      <c r="BI90" s="1">
        <v>50</v>
      </c>
      <c r="BJ90" s="1">
        <v>57</v>
      </c>
      <c r="BK90" s="1">
        <v>12</v>
      </c>
      <c r="BL90" s="10">
        <v>93</v>
      </c>
      <c r="BM90" s="1">
        <v>53</v>
      </c>
      <c r="BN90" s="1">
        <v>67</v>
      </c>
      <c r="BO90" s="1">
        <v>72</v>
      </c>
      <c r="BP90" s="1">
        <v>69</v>
      </c>
      <c r="BQ90" s="1">
        <v>68</v>
      </c>
      <c r="BR90" s="1">
        <v>69</v>
      </c>
      <c r="BS90" s="1">
        <v>51</v>
      </c>
      <c r="BT90" s="1">
        <v>57</v>
      </c>
      <c r="BU90" s="1">
        <v>63</v>
      </c>
      <c r="BV90" s="1">
        <v>63</v>
      </c>
      <c r="BW90" s="1">
        <v>55</v>
      </c>
      <c r="BX90" s="1">
        <v>54</v>
      </c>
      <c r="BY90" s="1">
        <v>66</v>
      </c>
      <c r="BZ90" s="1">
        <v>63</v>
      </c>
      <c r="CA90" s="1">
        <v>65</v>
      </c>
      <c r="CB90" s="1">
        <v>70</v>
      </c>
      <c r="CC90" s="1">
        <v>65</v>
      </c>
      <c r="CD90" s="1">
        <v>64</v>
      </c>
      <c r="CE90" s="11">
        <v>75</v>
      </c>
    </row>
    <row r="91" spans="1:83" ht="17" customHeight="1" x14ac:dyDescent="0.2">
      <c r="A91" s="66"/>
      <c r="C91" s="68"/>
      <c r="D91" s="10">
        <v>43</v>
      </c>
      <c r="E91" s="1">
        <v>145</v>
      </c>
      <c r="F91" s="1">
        <v>55</v>
      </c>
      <c r="G91" s="1">
        <v>68</v>
      </c>
      <c r="H91" s="1">
        <v>74</v>
      </c>
      <c r="I91" s="1">
        <v>77</v>
      </c>
      <c r="J91" s="1">
        <v>69</v>
      </c>
      <c r="K91" s="1">
        <v>81</v>
      </c>
      <c r="L91" s="1">
        <v>112</v>
      </c>
      <c r="M91" s="1">
        <v>110</v>
      </c>
      <c r="N91" s="1">
        <v>114</v>
      </c>
      <c r="O91" s="1">
        <v>100</v>
      </c>
      <c r="P91" s="1">
        <v>60</v>
      </c>
      <c r="Q91" s="1">
        <v>76</v>
      </c>
      <c r="R91" s="1">
        <v>84</v>
      </c>
      <c r="S91" s="1">
        <v>77</v>
      </c>
      <c r="T91" s="1">
        <v>58</v>
      </c>
      <c r="U91" s="1">
        <v>70</v>
      </c>
      <c r="V91" s="1">
        <v>138</v>
      </c>
      <c r="W91" s="1">
        <v>31</v>
      </c>
      <c r="X91" s="10">
        <v>83</v>
      </c>
      <c r="Y91" s="1">
        <v>73</v>
      </c>
      <c r="Z91" s="1">
        <v>80</v>
      </c>
      <c r="AA91" s="1">
        <v>86</v>
      </c>
      <c r="AB91" s="1">
        <v>85</v>
      </c>
      <c r="AC91" s="1">
        <v>88</v>
      </c>
      <c r="AD91" s="1">
        <v>87</v>
      </c>
      <c r="AE91" s="1">
        <v>85</v>
      </c>
      <c r="AF91" s="1">
        <v>58</v>
      </c>
      <c r="AG91" s="1">
        <v>127</v>
      </c>
      <c r="AH91" s="1">
        <v>159</v>
      </c>
      <c r="AI91" s="1">
        <v>62</v>
      </c>
      <c r="AJ91" s="1">
        <v>53</v>
      </c>
      <c r="AK91" s="1">
        <v>80</v>
      </c>
      <c r="AL91" s="1">
        <v>88</v>
      </c>
      <c r="AM91" s="1">
        <v>84</v>
      </c>
      <c r="AN91" s="1">
        <v>79</v>
      </c>
      <c r="AO91" s="1">
        <v>79</v>
      </c>
      <c r="AP91" s="1">
        <v>69</v>
      </c>
      <c r="AQ91" s="11">
        <v>88</v>
      </c>
      <c r="AR91" s="1">
        <v>20</v>
      </c>
      <c r="AS91" s="1">
        <v>88</v>
      </c>
      <c r="AT91" s="1">
        <v>35</v>
      </c>
      <c r="AU91" s="1">
        <v>58</v>
      </c>
      <c r="AV91" s="1">
        <v>64</v>
      </c>
      <c r="AW91" s="1">
        <v>61</v>
      </c>
      <c r="AX91" s="1">
        <v>63</v>
      </c>
      <c r="AY91" s="1">
        <v>66</v>
      </c>
      <c r="AZ91" s="1">
        <v>66</v>
      </c>
      <c r="BA91" s="1">
        <v>59</v>
      </c>
      <c r="BB91" s="1">
        <v>61</v>
      </c>
      <c r="BC91" s="1">
        <v>66</v>
      </c>
      <c r="BD91" s="1">
        <v>65</v>
      </c>
      <c r="BE91" s="1">
        <v>57</v>
      </c>
      <c r="BF91" s="1">
        <v>58</v>
      </c>
      <c r="BG91" s="1">
        <v>63</v>
      </c>
      <c r="BH91" s="1">
        <v>41</v>
      </c>
      <c r="BI91" s="1">
        <v>42</v>
      </c>
      <c r="BJ91" s="1">
        <v>65</v>
      </c>
      <c r="BK91" s="1">
        <v>13</v>
      </c>
      <c r="BL91" s="10">
        <v>86</v>
      </c>
      <c r="BM91" s="1">
        <v>63</v>
      </c>
      <c r="BN91" s="1">
        <v>72</v>
      </c>
      <c r="BO91" s="1">
        <v>72</v>
      </c>
      <c r="BP91" s="1">
        <v>70</v>
      </c>
      <c r="BQ91" s="1">
        <v>67</v>
      </c>
      <c r="BR91" s="1">
        <v>65</v>
      </c>
      <c r="BS91" s="1">
        <v>56</v>
      </c>
      <c r="BT91" s="1">
        <v>51</v>
      </c>
      <c r="BU91" s="1">
        <v>64</v>
      </c>
      <c r="BV91" s="1">
        <v>66</v>
      </c>
      <c r="BW91" s="1">
        <v>50</v>
      </c>
      <c r="BX91" s="1">
        <v>52</v>
      </c>
      <c r="BY91" s="1">
        <v>63</v>
      </c>
      <c r="BZ91" s="1">
        <v>64</v>
      </c>
      <c r="CA91" s="1">
        <v>67</v>
      </c>
      <c r="CB91" s="1">
        <v>70</v>
      </c>
      <c r="CC91" s="1">
        <v>65</v>
      </c>
      <c r="CD91" s="1">
        <v>45</v>
      </c>
      <c r="CE91" s="11">
        <v>67</v>
      </c>
    </row>
    <row r="92" spans="1:83" ht="17" customHeight="1" x14ac:dyDescent="0.2">
      <c r="A92" s="66"/>
      <c r="C92" s="68"/>
      <c r="D92" s="10">
        <v>29</v>
      </c>
      <c r="E92" s="1">
        <v>151</v>
      </c>
      <c r="F92" s="1">
        <v>97</v>
      </c>
      <c r="G92" s="1">
        <v>53</v>
      </c>
      <c r="H92" s="1">
        <v>62</v>
      </c>
      <c r="I92" s="1">
        <v>62</v>
      </c>
      <c r="J92" s="1">
        <v>57</v>
      </c>
      <c r="K92" s="1">
        <v>71</v>
      </c>
      <c r="L92" s="1">
        <v>103</v>
      </c>
      <c r="M92" s="1">
        <v>109</v>
      </c>
      <c r="N92" s="1">
        <v>112</v>
      </c>
      <c r="O92" s="1">
        <v>73</v>
      </c>
      <c r="P92" s="1">
        <v>55</v>
      </c>
      <c r="Q92" s="1">
        <v>64</v>
      </c>
      <c r="R92" s="1">
        <v>63</v>
      </c>
      <c r="S92" s="1">
        <v>59</v>
      </c>
      <c r="T92" s="1">
        <v>49</v>
      </c>
      <c r="U92" s="1">
        <v>113</v>
      </c>
      <c r="V92" s="1">
        <v>137</v>
      </c>
      <c r="W92" s="1">
        <v>20</v>
      </c>
      <c r="X92" s="10">
        <v>109</v>
      </c>
      <c r="Y92" s="1">
        <v>67</v>
      </c>
      <c r="Z92" s="1">
        <v>83</v>
      </c>
      <c r="AA92" s="1">
        <v>87</v>
      </c>
      <c r="AB92" s="1">
        <v>90</v>
      </c>
      <c r="AC92" s="1">
        <v>89</v>
      </c>
      <c r="AD92" s="1">
        <v>90</v>
      </c>
      <c r="AE92" s="1">
        <v>85</v>
      </c>
      <c r="AF92" s="1">
        <v>118</v>
      </c>
      <c r="AG92" s="1">
        <v>196</v>
      </c>
      <c r="AH92" s="1">
        <v>197</v>
      </c>
      <c r="AI92" s="1">
        <v>156</v>
      </c>
      <c r="AJ92" s="1">
        <v>103</v>
      </c>
      <c r="AK92" s="1">
        <v>85</v>
      </c>
      <c r="AL92" s="1">
        <v>92</v>
      </c>
      <c r="AM92" s="1">
        <v>87</v>
      </c>
      <c r="AN92" s="1">
        <v>82</v>
      </c>
      <c r="AO92" s="1">
        <v>74</v>
      </c>
      <c r="AP92" s="1">
        <v>65</v>
      </c>
      <c r="AQ92" s="11">
        <v>107</v>
      </c>
      <c r="AR92" s="1">
        <v>19</v>
      </c>
      <c r="AS92" s="1">
        <v>64</v>
      </c>
      <c r="AT92" s="1">
        <v>58</v>
      </c>
      <c r="AU92" s="1">
        <v>65</v>
      </c>
      <c r="AV92" s="1">
        <v>67</v>
      </c>
      <c r="AW92" s="1">
        <v>64</v>
      </c>
      <c r="AX92" s="1">
        <v>64</v>
      </c>
      <c r="AY92" s="1">
        <v>69</v>
      </c>
      <c r="AZ92" s="1">
        <v>68</v>
      </c>
      <c r="BA92" s="1">
        <v>60</v>
      </c>
      <c r="BB92" s="1">
        <v>60</v>
      </c>
      <c r="BC92" s="1">
        <v>68</v>
      </c>
      <c r="BD92" s="1">
        <v>67</v>
      </c>
      <c r="BE92" s="1">
        <v>59</v>
      </c>
      <c r="BF92" s="1">
        <v>61</v>
      </c>
      <c r="BG92" s="1">
        <v>62</v>
      </c>
      <c r="BH92" s="1">
        <v>47</v>
      </c>
      <c r="BI92" s="1">
        <v>67</v>
      </c>
      <c r="BJ92" s="1">
        <v>47</v>
      </c>
      <c r="BK92" s="1">
        <v>34</v>
      </c>
      <c r="BL92" s="10">
        <v>77</v>
      </c>
      <c r="BM92" s="1">
        <v>50</v>
      </c>
      <c r="BN92" s="1">
        <v>66</v>
      </c>
      <c r="BO92" s="1">
        <v>74</v>
      </c>
      <c r="BP92" s="1">
        <v>72</v>
      </c>
      <c r="BQ92" s="1">
        <v>68</v>
      </c>
      <c r="BR92" s="1">
        <v>64</v>
      </c>
      <c r="BS92" s="1">
        <v>62</v>
      </c>
      <c r="BT92" s="1">
        <v>55</v>
      </c>
      <c r="BU92" s="1">
        <v>52</v>
      </c>
      <c r="BV92" s="1">
        <v>51</v>
      </c>
      <c r="BW92" s="1">
        <v>54</v>
      </c>
      <c r="BX92" s="1">
        <v>56</v>
      </c>
      <c r="BY92" s="1">
        <v>61</v>
      </c>
      <c r="BZ92" s="1">
        <v>67</v>
      </c>
      <c r="CA92" s="1">
        <v>69</v>
      </c>
      <c r="CB92" s="1">
        <v>69</v>
      </c>
      <c r="CC92" s="1">
        <v>64</v>
      </c>
      <c r="CD92" s="1">
        <v>39</v>
      </c>
      <c r="CE92" s="11">
        <v>71</v>
      </c>
    </row>
    <row r="93" spans="1:83" ht="17" customHeight="1" x14ac:dyDescent="0.2">
      <c r="A93" s="66"/>
      <c r="C93" s="68"/>
      <c r="D93" s="10">
        <v>18</v>
      </c>
      <c r="E93" s="1">
        <v>125</v>
      </c>
      <c r="F93" s="1">
        <v>85</v>
      </c>
      <c r="G93" s="1">
        <v>67</v>
      </c>
      <c r="H93" s="1">
        <v>69</v>
      </c>
      <c r="I93" s="1">
        <v>81</v>
      </c>
      <c r="J93" s="1">
        <v>97</v>
      </c>
      <c r="K93" s="1">
        <v>125</v>
      </c>
      <c r="L93" s="1">
        <v>107</v>
      </c>
      <c r="M93" s="1">
        <v>82</v>
      </c>
      <c r="N93" s="1">
        <v>84</v>
      </c>
      <c r="O93" s="1">
        <v>87</v>
      </c>
      <c r="P93" s="1">
        <v>113</v>
      </c>
      <c r="Q93" s="1">
        <v>108</v>
      </c>
      <c r="R93" s="1">
        <v>75</v>
      </c>
      <c r="S93" s="1">
        <v>59</v>
      </c>
      <c r="T93" s="1">
        <v>73</v>
      </c>
      <c r="U93" s="1">
        <v>128</v>
      </c>
      <c r="V93" s="1">
        <v>122</v>
      </c>
      <c r="W93" s="1">
        <v>12</v>
      </c>
      <c r="X93" s="10">
        <v>161</v>
      </c>
      <c r="Y93" s="1">
        <v>80</v>
      </c>
      <c r="Z93" s="1">
        <v>75</v>
      </c>
      <c r="AA93" s="1">
        <v>85</v>
      </c>
      <c r="AB93" s="1">
        <v>88</v>
      </c>
      <c r="AC93" s="1">
        <v>84</v>
      </c>
      <c r="AD93" s="1">
        <v>86</v>
      </c>
      <c r="AE93" s="1">
        <v>84</v>
      </c>
      <c r="AF93" s="1">
        <v>118</v>
      </c>
      <c r="AG93" s="1">
        <v>186</v>
      </c>
      <c r="AH93" s="1">
        <v>165</v>
      </c>
      <c r="AI93" s="1">
        <v>134</v>
      </c>
      <c r="AJ93" s="1">
        <v>104</v>
      </c>
      <c r="AK93" s="1">
        <v>82</v>
      </c>
      <c r="AL93" s="1">
        <v>85</v>
      </c>
      <c r="AM93" s="1">
        <v>85</v>
      </c>
      <c r="AN93" s="1">
        <v>80</v>
      </c>
      <c r="AO93" s="1">
        <v>72</v>
      </c>
      <c r="AP93" s="1">
        <v>64</v>
      </c>
      <c r="AQ93" s="11">
        <v>141</v>
      </c>
      <c r="AR93" s="1">
        <v>13</v>
      </c>
      <c r="AS93" s="1">
        <v>46</v>
      </c>
      <c r="AT93" s="1">
        <v>99</v>
      </c>
      <c r="AU93" s="1">
        <v>53</v>
      </c>
      <c r="AV93" s="1">
        <v>62</v>
      </c>
      <c r="AW93" s="1">
        <v>60</v>
      </c>
      <c r="AX93" s="1">
        <v>64</v>
      </c>
      <c r="AY93" s="1">
        <v>67</v>
      </c>
      <c r="AZ93" s="1">
        <v>67</v>
      </c>
      <c r="BA93" s="1">
        <v>68</v>
      </c>
      <c r="BB93" s="1">
        <v>69</v>
      </c>
      <c r="BC93" s="1">
        <v>67</v>
      </c>
      <c r="BD93" s="1">
        <v>66</v>
      </c>
      <c r="BE93" s="1">
        <v>63</v>
      </c>
      <c r="BF93" s="1">
        <v>61</v>
      </c>
      <c r="BG93" s="1">
        <v>59</v>
      </c>
      <c r="BH93" s="1">
        <v>56</v>
      </c>
      <c r="BI93" s="1">
        <v>103</v>
      </c>
      <c r="BJ93" s="1">
        <v>18</v>
      </c>
      <c r="BK93" s="1">
        <v>30</v>
      </c>
      <c r="BL93" s="10">
        <v>82</v>
      </c>
      <c r="BM93" s="1">
        <v>51</v>
      </c>
      <c r="BN93" s="1">
        <v>64</v>
      </c>
      <c r="BO93" s="1">
        <v>68</v>
      </c>
      <c r="BP93" s="1">
        <v>68</v>
      </c>
      <c r="BQ93" s="1">
        <v>70</v>
      </c>
      <c r="BR93" s="1">
        <v>64</v>
      </c>
      <c r="BS93" s="1">
        <v>62</v>
      </c>
      <c r="BT93" s="1">
        <v>65</v>
      </c>
      <c r="BU93" s="1">
        <v>62</v>
      </c>
      <c r="BV93" s="1">
        <v>62</v>
      </c>
      <c r="BW93" s="1">
        <v>64</v>
      </c>
      <c r="BX93" s="1">
        <v>61</v>
      </c>
      <c r="BY93" s="1">
        <v>64</v>
      </c>
      <c r="BZ93" s="1">
        <v>68</v>
      </c>
      <c r="CA93" s="1">
        <v>66</v>
      </c>
      <c r="CB93" s="1">
        <v>68</v>
      </c>
      <c r="CC93" s="1">
        <v>60</v>
      </c>
      <c r="CD93" s="1">
        <v>53</v>
      </c>
      <c r="CE93" s="11">
        <v>99</v>
      </c>
    </row>
    <row r="94" spans="1:83" ht="17" customHeight="1" x14ac:dyDescent="0.2">
      <c r="A94" s="66"/>
      <c r="C94" s="68"/>
      <c r="D94" s="10">
        <v>11</v>
      </c>
      <c r="E94" s="1">
        <v>121</v>
      </c>
      <c r="F94" s="1">
        <v>91</v>
      </c>
      <c r="G94" s="1">
        <v>85</v>
      </c>
      <c r="H94" s="1">
        <v>97</v>
      </c>
      <c r="I94" s="1">
        <v>96</v>
      </c>
      <c r="J94" s="1">
        <v>107</v>
      </c>
      <c r="K94" s="1">
        <v>121</v>
      </c>
      <c r="L94" s="1">
        <v>55</v>
      </c>
      <c r="M94" s="1">
        <v>31</v>
      </c>
      <c r="N94" s="1">
        <v>28</v>
      </c>
      <c r="O94" s="1">
        <v>73</v>
      </c>
      <c r="P94" s="1">
        <v>119</v>
      </c>
      <c r="Q94" s="1">
        <v>112</v>
      </c>
      <c r="R94" s="1">
        <v>97</v>
      </c>
      <c r="S94" s="1">
        <v>95</v>
      </c>
      <c r="T94" s="1">
        <v>68</v>
      </c>
      <c r="U94" s="1">
        <v>101</v>
      </c>
      <c r="V94" s="1">
        <v>108</v>
      </c>
      <c r="W94" s="1">
        <v>6</v>
      </c>
      <c r="X94" s="10">
        <v>184</v>
      </c>
      <c r="Y94" s="1">
        <v>132</v>
      </c>
      <c r="Z94" s="1">
        <v>65</v>
      </c>
      <c r="AA94" s="1">
        <v>77</v>
      </c>
      <c r="AB94" s="1">
        <v>86</v>
      </c>
      <c r="AC94" s="1">
        <v>82</v>
      </c>
      <c r="AD94" s="1">
        <v>83</v>
      </c>
      <c r="AE94" s="1">
        <v>92</v>
      </c>
      <c r="AF94" s="1">
        <v>173</v>
      </c>
      <c r="AG94" s="1">
        <v>210</v>
      </c>
      <c r="AH94" s="1">
        <v>197</v>
      </c>
      <c r="AI94" s="1">
        <v>127</v>
      </c>
      <c r="AJ94" s="1">
        <v>113</v>
      </c>
      <c r="AK94" s="1">
        <v>79</v>
      </c>
      <c r="AL94" s="1">
        <v>80</v>
      </c>
      <c r="AM94" s="1">
        <v>78</v>
      </c>
      <c r="AN94" s="1">
        <v>73</v>
      </c>
      <c r="AO94" s="1">
        <v>69</v>
      </c>
      <c r="AP94" s="1">
        <v>101</v>
      </c>
      <c r="AQ94" s="11">
        <v>163</v>
      </c>
      <c r="AR94" s="1">
        <v>5</v>
      </c>
      <c r="AS94" s="1">
        <v>2</v>
      </c>
      <c r="AT94" s="1">
        <v>97</v>
      </c>
      <c r="AU94" s="1">
        <v>64</v>
      </c>
      <c r="AV94" s="1">
        <v>58</v>
      </c>
      <c r="AW94" s="1">
        <v>64</v>
      </c>
      <c r="AX94" s="1">
        <v>64</v>
      </c>
      <c r="AY94" s="1">
        <v>63</v>
      </c>
      <c r="AZ94" s="1">
        <v>65</v>
      </c>
      <c r="BA94" s="1">
        <v>61</v>
      </c>
      <c r="BB94" s="1">
        <v>60</v>
      </c>
      <c r="BC94" s="1">
        <v>66</v>
      </c>
      <c r="BD94" s="1">
        <v>64</v>
      </c>
      <c r="BE94" s="1">
        <v>61</v>
      </c>
      <c r="BF94" s="1">
        <v>59</v>
      </c>
      <c r="BG94" s="1">
        <v>57</v>
      </c>
      <c r="BH94" s="1">
        <v>64</v>
      </c>
      <c r="BI94" s="1">
        <v>84</v>
      </c>
      <c r="BJ94" s="1">
        <v>1</v>
      </c>
      <c r="BK94" s="1">
        <v>3</v>
      </c>
      <c r="BL94" s="10">
        <v>96</v>
      </c>
      <c r="BM94" s="1">
        <v>68</v>
      </c>
      <c r="BN94" s="1">
        <v>64</v>
      </c>
      <c r="BO94" s="1">
        <v>68</v>
      </c>
      <c r="BP94" s="1">
        <v>64</v>
      </c>
      <c r="BQ94" s="1">
        <v>69</v>
      </c>
      <c r="BR94" s="1">
        <v>64</v>
      </c>
      <c r="BS94" s="1">
        <v>61</v>
      </c>
      <c r="BT94" s="1">
        <v>64</v>
      </c>
      <c r="BU94" s="1">
        <v>64</v>
      </c>
      <c r="BV94" s="1">
        <v>65</v>
      </c>
      <c r="BW94" s="1">
        <v>61</v>
      </c>
      <c r="BX94" s="1">
        <v>61</v>
      </c>
      <c r="BY94" s="1">
        <v>64</v>
      </c>
      <c r="BZ94" s="1">
        <v>67</v>
      </c>
      <c r="CA94" s="1">
        <v>66</v>
      </c>
      <c r="CB94" s="1">
        <v>65</v>
      </c>
      <c r="CC94" s="1">
        <v>59</v>
      </c>
      <c r="CD94" s="1">
        <v>60</v>
      </c>
      <c r="CE94" s="11">
        <v>92</v>
      </c>
    </row>
    <row r="95" spans="1:83" ht="17" customHeight="1" x14ac:dyDescent="0.2">
      <c r="A95" s="66"/>
      <c r="C95" s="68"/>
      <c r="D95" s="10">
        <v>6</v>
      </c>
      <c r="E95" s="1">
        <v>110</v>
      </c>
      <c r="F95" s="1">
        <v>121</v>
      </c>
      <c r="G95" s="1">
        <v>75</v>
      </c>
      <c r="H95" s="1">
        <v>101</v>
      </c>
      <c r="I95" s="1">
        <v>89</v>
      </c>
      <c r="J95" s="1">
        <v>89</v>
      </c>
      <c r="K95" s="1">
        <v>92</v>
      </c>
      <c r="L95" s="1">
        <v>24</v>
      </c>
      <c r="M95" s="1">
        <v>0</v>
      </c>
      <c r="N95" s="1">
        <v>0</v>
      </c>
      <c r="O95" s="1">
        <v>57</v>
      </c>
      <c r="P95" s="1">
        <v>100</v>
      </c>
      <c r="Q95" s="1">
        <v>93</v>
      </c>
      <c r="R95" s="1">
        <v>103</v>
      </c>
      <c r="S95" s="1">
        <v>79</v>
      </c>
      <c r="T95" s="1">
        <v>60</v>
      </c>
      <c r="U95" s="1">
        <v>127</v>
      </c>
      <c r="V95" s="1">
        <v>88</v>
      </c>
      <c r="W95" s="1">
        <v>3</v>
      </c>
      <c r="X95" s="10">
        <v>163</v>
      </c>
      <c r="Y95" s="1">
        <v>112</v>
      </c>
      <c r="Z95" s="1">
        <v>92</v>
      </c>
      <c r="AA95" s="1">
        <v>79</v>
      </c>
      <c r="AB95" s="1">
        <v>80</v>
      </c>
      <c r="AC95" s="1">
        <v>105</v>
      </c>
      <c r="AD95" s="1">
        <v>154</v>
      </c>
      <c r="AE95" s="1">
        <v>175</v>
      </c>
      <c r="AF95" s="1">
        <v>175</v>
      </c>
      <c r="AG95" s="1">
        <v>150</v>
      </c>
      <c r="AH95" s="1">
        <v>168</v>
      </c>
      <c r="AI95" s="1">
        <v>140</v>
      </c>
      <c r="AJ95" s="1">
        <v>163</v>
      </c>
      <c r="AK95" s="1">
        <v>148</v>
      </c>
      <c r="AL95" s="1">
        <v>116</v>
      </c>
      <c r="AM95" s="1">
        <v>79</v>
      </c>
      <c r="AN95" s="1">
        <v>102</v>
      </c>
      <c r="AO95" s="1">
        <v>90</v>
      </c>
      <c r="AP95" s="1">
        <v>106</v>
      </c>
      <c r="AQ95" s="11">
        <v>104</v>
      </c>
      <c r="AR95" s="1">
        <v>6</v>
      </c>
      <c r="AS95" s="1">
        <v>0</v>
      </c>
      <c r="AT95" s="1">
        <v>65</v>
      </c>
      <c r="AU95" s="1">
        <v>97</v>
      </c>
      <c r="AV95" s="1">
        <v>37</v>
      </c>
      <c r="AW95" s="1">
        <v>66</v>
      </c>
      <c r="AX95" s="1">
        <v>63</v>
      </c>
      <c r="AY95" s="1">
        <v>63</v>
      </c>
      <c r="AZ95" s="1">
        <v>66</v>
      </c>
      <c r="BA95" s="1">
        <v>69</v>
      </c>
      <c r="BB95" s="1">
        <v>64</v>
      </c>
      <c r="BC95" s="1">
        <v>65</v>
      </c>
      <c r="BD95" s="1">
        <v>64</v>
      </c>
      <c r="BE95" s="1">
        <v>61</v>
      </c>
      <c r="BF95" s="1">
        <v>62</v>
      </c>
      <c r="BG95" s="1">
        <v>40</v>
      </c>
      <c r="BH95" s="1">
        <v>93</v>
      </c>
      <c r="BI95" s="1">
        <v>49</v>
      </c>
      <c r="BJ95" s="1">
        <v>1</v>
      </c>
      <c r="BK95" s="1">
        <v>5</v>
      </c>
      <c r="BL95" s="10">
        <v>57</v>
      </c>
      <c r="BM95" s="1">
        <v>88</v>
      </c>
      <c r="BN95" s="1">
        <v>58</v>
      </c>
      <c r="BO95" s="1">
        <v>65</v>
      </c>
      <c r="BP95" s="1">
        <v>65</v>
      </c>
      <c r="BQ95" s="1">
        <v>67</v>
      </c>
      <c r="BR95" s="1">
        <v>64</v>
      </c>
      <c r="BS95" s="1">
        <v>62</v>
      </c>
      <c r="BT95" s="1">
        <v>63</v>
      </c>
      <c r="BU95" s="1">
        <v>64</v>
      </c>
      <c r="BV95" s="1">
        <v>75</v>
      </c>
      <c r="BW95" s="1">
        <v>64</v>
      </c>
      <c r="BX95" s="1">
        <v>64</v>
      </c>
      <c r="BY95" s="1">
        <v>66</v>
      </c>
      <c r="BZ95" s="1">
        <v>68</v>
      </c>
      <c r="CA95" s="1">
        <v>65</v>
      </c>
      <c r="CB95" s="1">
        <v>62</v>
      </c>
      <c r="CC95" s="1">
        <v>59</v>
      </c>
      <c r="CD95" s="1">
        <v>78</v>
      </c>
      <c r="CE95" s="11">
        <v>69</v>
      </c>
    </row>
    <row r="96" spans="1:83" ht="17" customHeight="1" x14ac:dyDescent="0.2">
      <c r="A96" s="66"/>
      <c r="C96" s="68"/>
      <c r="D96" s="10">
        <v>3</v>
      </c>
      <c r="E96" s="1">
        <v>87</v>
      </c>
      <c r="F96" s="1">
        <v>124</v>
      </c>
      <c r="G96" s="1">
        <v>65</v>
      </c>
      <c r="H96" s="1">
        <v>81</v>
      </c>
      <c r="I96" s="1">
        <v>108</v>
      </c>
      <c r="J96" s="1">
        <v>79</v>
      </c>
      <c r="K96" s="1">
        <v>72</v>
      </c>
      <c r="L96" s="1">
        <v>82</v>
      </c>
      <c r="M96" s="1">
        <v>63</v>
      </c>
      <c r="N96" s="1">
        <v>62</v>
      </c>
      <c r="O96" s="1">
        <v>82</v>
      </c>
      <c r="P96" s="1">
        <v>67</v>
      </c>
      <c r="Q96" s="1">
        <v>93</v>
      </c>
      <c r="R96" s="1">
        <v>80</v>
      </c>
      <c r="S96" s="1">
        <v>62</v>
      </c>
      <c r="T96" s="1">
        <v>69</v>
      </c>
      <c r="U96" s="1">
        <v>124</v>
      </c>
      <c r="V96" s="1">
        <v>67</v>
      </c>
      <c r="W96" s="1">
        <v>2</v>
      </c>
      <c r="X96" s="10">
        <v>179</v>
      </c>
      <c r="Y96" s="1">
        <v>85</v>
      </c>
      <c r="Z96" s="1">
        <v>80</v>
      </c>
      <c r="AA96" s="1">
        <v>94</v>
      </c>
      <c r="AB96" s="1">
        <v>120</v>
      </c>
      <c r="AC96" s="1">
        <v>128</v>
      </c>
      <c r="AD96" s="1">
        <v>173</v>
      </c>
      <c r="AE96" s="1">
        <v>179</v>
      </c>
      <c r="AF96" s="1">
        <v>146</v>
      </c>
      <c r="AG96" s="1">
        <v>108</v>
      </c>
      <c r="AH96" s="1">
        <v>114</v>
      </c>
      <c r="AI96" s="1">
        <v>126</v>
      </c>
      <c r="AJ96" s="1">
        <v>168</v>
      </c>
      <c r="AK96" s="1">
        <v>175</v>
      </c>
      <c r="AL96" s="1">
        <v>158</v>
      </c>
      <c r="AM96" s="1">
        <v>116</v>
      </c>
      <c r="AN96" s="1">
        <v>119</v>
      </c>
      <c r="AO96" s="1">
        <v>98</v>
      </c>
      <c r="AP96" s="1">
        <v>88</v>
      </c>
      <c r="AQ96" s="11">
        <v>120</v>
      </c>
      <c r="AR96" s="1">
        <v>6</v>
      </c>
      <c r="AS96" s="1">
        <v>4</v>
      </c>
      <c r="AT96" s="1">
        <v>19</v>
      </c>
      <c r="AU96" s="1">
        <v>124</v>
      </c>
      <c r="AV96" s="1">
        <v>47</v>
      </c>
      <c r="AW96" s="1">
        <v>59</v>
      </c>
      <c r="AX96" s="1">
        <v>65</v>
      </c>
      <c r="AY96" s="1">
        <v>63</v>
      </c>
      <c r="AZ96" s="1">
        <v>67</v>
      </c>
      <c r="BA96" s="1">
        <v>91</v>
      </c>
      <c r="BB96" s="1">
        <v>70</v>
      </c>
      <c r="BC96" s="1">
        <v>59</v>
      </c>
      <c r="BD96" s="1">
        <v>61</v>
      </c>
      <c r="BE96" s="1">
        <v>61</v>
      </c>
      <c r="BF96" s="1">
        <v>54</v>
      </c>
      <c r="BG96" s="1">
        <v>50</v>
      </c>
      <c r="BH96" s="1">
        <v>117</v>
      </c>
      <c r="BI96" s="1">
        <v>12</v>
      </c>
      <c r="BJ96" s="1">
        <v>4</v>
      </c>
      <c r="BK96" s="1">
        <v>5</v>
      </c>
      <c r="BL96" s="10">
        <v>23</v>
      </c>
      <c r="BM96" s="1">
        <v>115</v>
      </c>
      <c r="BN96" s="1">
        <v>67</v>
      </c>
      <c r="BO96" s="1">
        <v>58</v>
      </c>
      <c r="BP96" s="1">
        <v>63</v>
      </c>
      <c r="BQ96" s="1">
        <v>68</v>
      </c>
      <c r="BR96" s="1">
        <v>68</v>
      </c>
      <c r="BS96" s="1">
        <v>67</v>
      </c>
      <c r="BT96" s="1">
        <v>67</v>
      </c>
      <c r="BU96" s="1">
        <v>66</v>
      </c>
      <c r="BV96" s="1">
        <v>70</v>
      </c>
      <c r="BW96" s="1">
        <v>68</v>
      </c>
      <c r="BX96" s="1">
        <v>67</v>
      </c>
      <c r="BY96" s="1">
        <v>65</v>
      </c>
      <c r="BZ96" s="1">
        <v>67</v>
      </c>
      <c r="CA96" s="1">
        <v>62</v>
      </c>
      <c r="CB96" s="1">
        <v>60</v>
      </c>
      <c r="CC96" s="1">
        <v>54</v>
      </c>
      <c r="CD96" s="1">
        <v>106</v>
      </c>
      <c r="CE96" s="11">
        <v>46</v>
      </c>
    </row>
    <row r="97" spans="1:83" ht="17" customHeight="1" x14ac:dyDescent="0.2">
      <c r="A97" s="66"/>
      <c r="C97" s="68"/>
      <c r="D97" s="10">
        <v>2</v>
      </c>
      <c r="E97" s="1">
        <v>63</v>
      </c>
      <c r="F97" s="1">
        <v>121</v>
      </c>
      <c r="G97" s="1">
        <v>67</v>
      </c>
      <c r="H97" s="1">
        <v>54</v>
      </c>
      <c r="I97" s="1">
        <v>96</v>
      </c>
      <c r="J97" s="1">
        <v>77</v>
      </c>
      <c r="K97" s="1">
        <v>95</v>
      </c>
      <c r="L97" s="1">
        <v>97</v>
      </c>
      <c r="M97" s="1">
        <v>91</v>
      </c>
      <c r="N97" s="1">
        <v>93</v>
      </c>
      <c r="O97" s="1">
        <v>98</v>
      </c>
      <c r="P97" s="1">
        <v>76</v>
      </c>
      <c r="Q97" s="1">
        <v>103</v>
      </c>
      <c r="R97" s="1">
        <v>68</v>
      </c>
      <c r="S97" s="1">
        <v>53</v>
      </c>
      <c r="T97" s="1">
        <v>71</v>
      </c>
      <c r="U97" s="1">
        <v>126</v>
      </c>
      <c r="V97" s="1">
        <v>71</v>
      </c>
      <c r="W97" s="1">
        <v>2</v>
      </c>
      <c r="X97" s="10">
        <v>202</v>
      </c>
      <c r="Y97" s="1">
        <v>138</v>
      </c>
      <c r="Z97" s="1">
        <v>133</v>
      </c>
      <c r="AA97" s="1">
        <v>159</v>
      </c>
      <c r="AB97" s="1">
        <v>121</v>
      </c>
      <c r="AC97" s="1">
        <v>113</v>
      </c>
      <c r="AD97" s="1">
        <v>143</v>
      </c>
      <c r="AE97" s="1">
        <v>171</v>
      </c>
      <c r="AF97" s="1">
        <v>133</v>
      </c>
      <c r="AG97" s="1">
        <v>50</v>
      </c>
      <c r="AH97" s="1">
        <v>36</v>
      </c>
      <c r="AI97" s="1">
        <v>89</v>
      </c>
      <c r="AJ97" s="1">
        <v>142</v>
      </c>
      <c r="AK97" s="1">
        <v>170</v>
      </c>
      <c r="AL97" s="1">
        <v>130</v>
      </c>
      <c r="AM97" s="1">
        <v>110</v>
      </c>
      <c r="AN97" s="1">
        <v>128</v>
      </c>
      <c r="AO97" s="1">
        <v>161</v>
      </c>
      <c r="AP97" s="1">
        <v>116</v>
      </c>
      <c r="AQ97" s="11">
        <v>138</v>
      </c>
      <c r="AR97" s="1">
        <v>5</v>
      </c>
      <c r="AS97" s="1">
        <v>6</v>
      </c>
      <c r="AT97" s="1">
        <v>2</v>
      </c>
      <c r="AU97" s="1">
        <v>64</v>
      </c>
      <c r="AV97" s="1">
        <v>109</v>
      </c>
      <c r="AW97" s="1">
        <v>49</v>
      </c>
      <c r="AX97" s="1">
        <v>63</v>
      </c>
      <c r="AY97" s="1">
        <v>63</v>
      </c>
      <c r="AZ97" s="1">
        <v>64</v>
      </c>
      <c r="BA97" s="1">
        <v>68</v>
      </c>
      <c r="BB97" s="1">
        <v>64</v>
      </c>
      <c r="BC97" s="1">
        <v>64</v>
      </c>
      <c r="BD97" s="1">
        <v>64</v>
      </c>
      <c r="BE97" s="1">
        <v>57</v>
      </c>
      <c r="BF97" s="1">
        <v>48</v>
      </c>
      <c r="BG97" s="1">
        <v>110</v>
      </c>
      <c r="BH97" s="1">
        <v>44</v>
      </c>
      <c r="BI97" s="1">
        <v>2</v>
      </c>
      <c r="BJ97" s="1">
        <v>5</v>
      </c>
      <c r="BK97" s="1">
        <v>5</v>
      </c>
      <c r="BL97" s="10">
        <v>2</v>
      </c>
      <c r="BM97" s="1">
        <v>68</v>
      </c>
      <c r="BN97" s="1">
        <v>117</v>
      </c>
      <c r="BO97" s="1">
        <v>52</v>
      </c>
      <c r="BP97" s="1">
        <v>59</v>
      </c>
      <c r="BQ97" s="1">
        <v>65</v>
      </c>
      <c r="BR97" s="1">
        <v>68</v>
      </c>
      <c r="BS97" s="1">
        <v>67</v>
      </c>
      <c r="BT97" s="1">
        <v>67</v>
      </c>
      <c r="BU97" s="1">
        <v>67</v>
      </c>
      <c r="BV97" s="1">
        <v>64</v>
      </c>
      <c r="BW97" s="1">
        <v>68</v>
      </c>
      <c r="BX97" s="1">
        <v>68</v>
      </c>
      <c r="BY97" s="1">
        <v>68</v>
      </c>
      <c r="BZ97" s="1">
        <v>68</v>
      </c>
      <c r="CA97" s="1">
        <v>60</v>
      </c>
      <c r="CB97" s="1">
        <v>53</v>
      </c>
      <c r="CC97" s="1">
        <v>60</v>
      </c>
      <c r="CD97" s="1">
        <v>119</v>
      </c>
      <c r="CE97" s="11">
        <v>20</v>
      </c>
    </row>
    <row r="98" spans="1:83" ht="17" customHeight="1" x14ac:dyDescent="0.2">
      <c r="A98" s="66"/>
      <c r="C98" s="68"/>
      <c r="D98" s="10">
        <v>2</v>
      </c>
      <c r="E98" s="1">
        <v>70</v>
      </c>
      <c r="F98" s="1">
        <v>114</v>
      </c>
      <c r="G98" s="1">
        <v>68</v>
      </c>
      <c r="H98" s="1">
        <v>61</v>
      </c>
      <c r="I98" s="1">
        <v>95</v>
      </c>
      <c r="J98" s="1">
        <v>80</v>
      </c>
      <c r="K98" s="1">
        <v>90</v>
      </c>
      <c r="L98" s="1">
        <v>82</v>
      </c>
      <c r="M98" s="1">
        <v>70</v>
      </c>
      <c r="N98" s="1">
        <v>75</v>
      </c>
      <c r="O98" s="1">
        <v>83</v>
      </c>
      <c r="P98" s="1">
        <v>76</v>
      </c>
      <c r="Q98" s="1">
        <v>82</v>
      </c>
      <c r="R98" s="1">
        <v>78</v>
      </c>
      <c r="S98" s="1">
        <v>52</v>
      </c>
      <c r="T98" s="1">
        <v>66</v>
      </c>
      <c r="U98" s="1">
        <v>122</v>
      </c>
      <c r="V98" s="1">
        <v>71</v>
      </c>
      <c r="W98" s="1">
        <v>2</v>
      </c>
      <c r="X98" s="10">
        <v>203</v>
      </c>
      <c r="Y98" s="1">
        <v>143</v>
      </c>
      <c r="Z98" s="1">
        <v>114</v>
      </c>
      <c r="AA98" s="1">
        <v>120</v>
      </c>
      <c r="AB98" s="1">
        <v>112</v>
      </c>
      <c r="AC98" s="1">
        <v>114</v>
      </c>
      <c r="AD98" s="1">
        <v>131</v>
      </c>
      <c r="AE98" s="1">
        <v>138</v>
      </c>
      <c r="AF98" s="1">
        <v>141</v>
      </c>
      <c r="AG98" s="1">
        <v>41</v>
      </c>
      <c r="AH98" s="1">
        <v>6</v>
      </c>
      <c r="AI98" s="1">
        <v>76</v>
      </c>
      <c r="AJ98" s="1">
        <v>153</v>
      </c>
      <c r="AK98" s="1">
        <v>136</v>
      </c>
      <c r="AL98" s="1">
        <v>121</v>
      </c>
      <c r="AM98" s="1">
        <v>105</v>
      </c>
      <c r="AN98" s="1">
        <v>112</v>
      </c>
      <c r="AO98" s="1">
        <v>118</v>
      </c>
      <c r="AP98" s="1">
        <v>120</v>
      </c>
      <c r="AQ98" s="11">
        <v>153</v>
      </c>
      <c r="AR98" s="1">
        <v>7</v>
      </c>
      <c r="AS98" s="1">
        <v>6</v>
      </c>
      <c r="AT98" s="1">
        <v>7</v>
      </c>
      <c r="AU98" s="1">
        <v>5</v>
      </c>
      <c r="AV98" s="1">
        <v>72</v>
      </c>
      <c r="AW98" s="1">
        <v>93</v>
      </c>
      <c r="AX98" s="1">
        <v>55</v>
      </c>
      <c r="AY98" s="1">
        <v>59</v>
      </c>
      <c r="AZ98" s="1">
        <v>59</v>
      </c>
      <c r="BA98" s="1">
        <v>69</v>
      </c>
      <c r="BB98" s="1">
        <v>64</v>
      </c>
      <c r="BC98" s="1">
        <v>64</v>
      </c>
      <c r="BD98" s="1">
        <v>58</v>
      </c>
      <c r="BE98" s="1">
        <v>62</v>
      </c>
      <c r="BF98" s="1">
        <v>94</v>
      </c>
      <c r="BG98" s="1">
        <v>44</v>
      </c>
      <c r="BH98" s="1">
        <v>3</v>
      </c>
      <c r="BI98" s="1">
        <v>7</v>
      </c>
      <c r="BJ98" s="1">
        <v>7</v>
      </c>
      <c r="BK98" s="1">
        <v>8</v>
      </c>
      <c r="BL98" s="10">
        <v>5</v>
      </c>
      <c r="BM98" s="1">
        <v>14</v>
      </c>
      <c r="BN98" s="1">
        <v>119</v>
      </c>
      <c r="BO98" s="1">
        <v>81</v>
      </c>
      <c r="BP98" s="1">
        <v>48</v>
      </c>
      <c r="BQ98" s="1">
        <v>63</v>
      </c>
      <c r="BR98" s="1">
        <v>67</v>
      </c>
      <c r="BS98" s="1">
        <v>69</v>
      </c>
      <c r="BT98" s="1">
        <v>70</v>
      </c>
      <c r="BU98" s="1">
        <v>68</v>
      </c>
      <c r="BV98" s="1">
        <v>65</v>
      </c>
      <c r="BW98" s="1">
        <v>69</v>
      </c>
      <c r="BX98" s="1">
        <v>69</v>
      </c>
      <c r="BY98" s="1">
        <v>68</v>
      </c>
      <c r="BZ98" s="1">
        <v>64</v>
      </c>
      <c r="CA98" s="1">
        <v>61</v>
      </c>
      <c r="CB98" s="1">
        <v>53</v>
      </c>
      <c r="CC98" s="1">
        <v>107</v>
      </c>
      <c r="CD98" s="1">
        <v>85</v>
      </c>
      <c r="CE98" s="11">
        <v>2</v>
      </c>
    </row>
    <row r="99" spans="1:83" ht="17" customHeight="1" x14ac:dyDescent="0.2">
      <c r="A99" s="66"/>
      <c r="C99" s="68"/>
      <c r="D99" s="10">
        <v>3</v>
      </c>
      <c r="E99" s="1">
        <v>103</v>
      </c>
      <c r="F99" s="1">
        <v>109</v>
      </c>
      <c r="G99" s="1">
        <v>64</v>
      </c>
      <c r="H99" s="1">
        <v>69</v>
      </c>
      <c r="I99" s="1">
        <v>43</v>
      </c>
      <c r="J99" s="1">
        <v>48</v>
      </c>
      <c r="K99" s="1">
        <v>88</v>
      </c>
      <c r="L99" s="1">
        <v>78</v>
      </c>
      <c r="M99" s="1">
        <v>75</v>
      </c>
      <c r="N99" s="1">
        <v>79</v>
      </c>
      <c r="O99" s="1">
        <v>82</v>
      </c>
      <c r="P99" s="1">
        <v>52</v>
      </c>
      <c r="Q99" s="1">
        <v>33</v>
      </c>
      <c r="R99" s="1">
        <v>76</v>
      </c>
      <c r="S99" s="1">
        <v>61</v>
      </c>
      <c r="T99" s="1">
        <v>80</v>
      </c>
      <c r="U99" s="1">
        <v>117</v>
      </c>
      <c r="V99" s="1">
        <v>46</v>
      </c>
      <c r="W99" s="1">
        <v>2</v>
      </c>
      <c r="X99" s="10">
        <v>166</v>
      </c>
      <c r="Y99" s="1">
        <v>145</v>
      </c>
      <c r="Z99" s="1">
        <v>127</v>
      </c>
      <c r="AA99" s="1">
        <v>101</v>
      </c>
      <c r="AB99" s="1">
        <v>130</v>
      </c>
      <c r="AC99" s="1">
        <v>116</v>
      </c>
      <c r="AD99" s="1">
        <v>107</v>
      </c>
      <c r="AE99" s="1">
        <v>120</v>
      </c>
      <c r="AF99" s="1">
        <v>147</v>
      </c>
      <c r="AG99" s="1">
        <v>40</v>
      </c>
      <c r="AH99" s="1">
        <v>6</v>
      </c>
      <c r="AI99" s="1">
        <v>67</v>
      </c>
      <c r="AJ99" s="1">
        <v>154</v>
      </c>
      <c r="AK99" s="1">
        <v>111</v>
      </c>
      <c r="AL99" s="1">
        <v>107</v>
      </c>
      <c r="AM99" s="1">
        <v>119</v>
      </c>
      <c r="AN99" s="1">
        <v>129</v>
      </c>
      <c r="AO99" s="1">
        <v>85</v>
      </c>
      <c r="AP99" s="1">
        <v>124</v>
      </c>
      <c r="AQ99" s="11">
        <v>135</v>
      </c>
      <c r="AR99" s="1">
        <v>6</v>
      </c>
      <c r="AS99" s="1">
        <v>6</v>
      </c>
      <c r="AT99" s="1">
        <v>5</v>
      </c>
      <c r="AU99" s="1">
        <v>5</v>
      </c>
      <c r="AV99" s="1">
        <v>2</v>
      </c>
      <c r="AW99" s="1">
        <v>38</v>
      </c>
      <c r="AX99" s="1">
        <v>78</v>
      </c>
      <c r="AY99" s="1">
        <v>76</v>
      </c>
      <c r="AZ99" s="1">
        <v>77</v>
      </c>
      <c r="BA99" s="1">
        <v>84</v>
      </c>
      <c r="BB99" s="1">
        <v>75</v>
      </c>
      <c r="BC99" s="1">
        <v>77</v>
      </c>
      <c r="BD99" s="1">
        <v>95</v>
      </c>
      <c r="BE99" s="1">
        <v>87</v>
      </c>
      <c r="BF99" s="1">
        <v>36</v>
      </c>
      <c r="BG99" s="1">
        <v>1</v>
      </c>
      <c r="BH99" s="1">
        <v>5</v>
      </c>
      <c r="BI99" s="1">
        <v>5</v>
      </c>
      <c r="BJ99" s="1">
        <v>6</v>
      </c>
      <c r="BK99" s="1">
        <v>6</v>
      </c>
      <c r="BL99" s="10">
        <v>7</v>
      </c>
      <c r="BM99" s="1">
        <v>3</v>
      </c>
      <c r="BN99" s="1">
        <v>46</v>
      </c>
      <c r="BO99" s="1">
        <v>135</v>
      </c>
      <c r="BP99" s="1">
        <v>71</v>
      </c>
      <c r="BQ99" s="1">
        <v>61</v>
      </c>
      <c r="BR99" s="1">
        <v>65</v>
      </c>
      <c r="BS99" s="1">
        <v>70</v>
      </c>
      <c r="BT99" s="1">
        <v>73</v>
      </c>
      <c r="BU99" s="1">
        <v>68</v>
      </c>
      <c r="BV99" s="1">
        <v>67</v>
      </c>
      <c r="BW99" s="1">
        <v>73</v>
      </c>
      <c r="BX99" s="1">
        <v>71</v>
      </c>
      <c r="BY99" s="1">
        <v>68</v>
      </c>
      <c r="BZ99" s="1">
        <v>65</v>
      </c>
      <c r="CA99" s="1">
        <v>61</v>
      </c>
      <c r="CB99" s="1">
        <v>83</v>
      </c>
      <c r="CC99" s="1">
        <v>117</v>
      </c>
      <c r="CD99" s="1">
        <v>20</v>
      </c>
      <c r="CE99" s="11">
        <v>5</v>
      </c>
    </row>
    <row r="100" spans="1:83" ht="17" customHeight="1" thickBot="1" x14ac:dyDescent="0.25">
      <c r="A100" s="69"/>
      <c r="B100" s="70"/>
      <c r="C100" s="71"/>
      <c r="D100" s="12">
        <v>3</v>
      </c>
      <c r="E100" s="13">
        <v>76</v>
      </c>
      <c r="F100" s="13">
        <v>95</v>
      </c>
      <c r="G100" s="13">
        <v>72</v>
      </c>
      <c r="H100" s="13">
        <v>66</v>
      </c>
      <c r="I100" s="13">
        <v>22</v>
      </c>
      <c r="J100" s="13">
        <v>44</v>
      </c>
      <c r="K100" s="13">
        <v>68</v>
      </c>
      <c r="L100" s="13">
        <v>65</v>
      </c>
      <c r="M100" s="13">
        <v>62</v>
      </c>
      <c r="N100" s="13">
        <v>64</v>
      </c>
      <c r="O100" s="13">
        <v>64</v>
      </c>
      <c r="P100" s="13">
        <v>45</v>
      </c>
      <c r="Q100" s="13">
        <v>31</v>
      </c>
      <c r="R100" s="13">
        <v>56</v>
      </c>
      <c r="S100" s="13">
        <v>73</v>
      </c>
      <c r="T100" s="13">
        <v>78</v>
      </c>
      <c r="U100" s="13">
        <v>76</v>
      </c>
      <c r="V100" s="13">
        <v>12</v>
      </c>
      <c r="W100" s="13">
        <v>3</v>
      </c>
      <c r="X100" s="12">
        <v>82</v>
      </c>
      <c r="Y100" s="13">
        <v>80</v>
      </c>
      <c r="Z100" s="13">
        <v>82</v>
      </c>
      <c r="AA100" s="13">
        <v>57</v>
      </c>
      <c r="AB100" s="13">
        <v>91</v>
      </c>
      <c r="AC100" s="13">
        <v>83</v>
      </c>
      <c r="AD100" s="13">
        <v>75</v>
      </c>
      <c r="AE100" s="13">
        <v>85</v>
      </c>
      <c r="AF100" s="13">
        <v>94</v>
      </c>
      <c r="AG100" s="13">
        <v>58</v>
      </c>
      <c r="AH100" s="13">
        <v>35</v>
      </c>
      <c r="AI100" s="13">
        <v>62</v>
      </c>
      <c r="AJ100" s="13">
        <v>96</v>
      </c>
      <c r="AK100" s="13">
        <v>76</v>
      </c>
      <c r="AL100" s="13">
        <v>72</v>
      </c>
      <c r="AM100" s="13">
        <v>79</v>
      </c>
      <c r="AN100" s="13">
        <v>76</v>
      </c>
      <c r="AO100" s="13">
        <v>56</v>
      </c>
      <c r="AP100" s="13">
        <v>65</v>
      </c>
      <c r="AQ100" s="14">
        <v>72</v>
      </c>
      <c r="AR100" s="13">
        <v>2</v>
      </c>
      <c r="AS100" s="13">
        <v>3</v>
      </c>
      <c r="AT100" s="13">
        <v>3</v>
      </c>
      <c r="AU100" s="13">
        <v>3</v>
      </c>
      <c r="AV100" s="13">
        <v>3</v>
      </c>
      <c r="AW100" s="13">
        <v>0</v>
      </c>
      <c r="AX100" s="13">
        <v>8</v>
      </c>
      <c r="AY100" s="13">
        <v>42</v>
      </c>
      <c r="AZ100" s="13">
        <v>73</v>
      </c>
      <c r="BA100" s="13">
        <v>85</v>
      </c>
      <c r="BB100" s="13">
        <v>80</v>
      </c>
      <c r="BC100" s="13">
        <v>64</v>
      </c>
      <c r="BD100" s="13">
        <v>47</v>
      </c>
      <c r="BE100" s="13">
        <v>5</v>
      </c>
      <c r="BF100" s="13">
        <v>0</v>
      </c>
      <c r="BG100" s="13">
        <v>3</v>
      </c>
      <c r="BH100" s="13">
        <v>3</v>
      </c>
      <c r="BI100" s="13">
        <v>3</v>
      </c>
      <c r="BJ100" s="13">
        <v>3</v>
      </c>
      <c r="BK100" s="13">
        <v>3</v>
      </c>
      <c r="BL100" s="12">
        <v>5</v>
      </c>
      <c r="BM100" s="13">
        <v>5</v>
      </c>
      <c r="BN100" s="13">
        <v>3</v>
      </c>
      <c r="BO100" s="13">
        <v>50</v>
      </c>
      <c r="BP100" s="13">
        <v>111</v>
      </c>
      <c r="BQ100" s="13">
        <v>70</v>
      </c>
      <c r="BR100" s="13">
        <v>62</v>
      </c>
      <c r="BS100" s="13">
        <v>62</v>
      </c>
      <c r="BT100" s="13">
        <v>65</v>
      </c>
      <c r="BU100" s="13">
        <v>60</v>
      </c>
      <c r="BV100" s="13">
        <v>61</v>
      </c>
      <c r="BW100" s="13">
        <v>67</v>
      </c>
      <c r="BX100" s="13">
        <v>63</v>
      </c>
      <c r="BY100" s="13">
        <v>62</v>
      </c>
      <c r="BZ100" s="13">
        <v>67</v>
      </c>
      <c r="CA100" s="13">
        <v>69</v>
      </c>
      <c r="CB100" s="13">
        <v>106</v>
      </c>
      <c r="CC100" s="13">
        <v>33</v>
      </c>
      <c r="CD100" s="13">
        <v>2</v>
      </c>
      <c r="CE100" s="14">
        <v>5</v>
      </c>
    </row>
    <row r="104" spans="1:83" ht="17" customHeight="1" x14ac:dyDescent="0.2">
      <c r="AE104" s="23"/>
      <c r="AF104" s="23"/>
      <c r="AG104" s="23"/>
      <c r="AH104" s="23"/>
      <c r="AI104" s="23"/>
      <c r="AJ104" s="23"/>
      <c r="AK104" s="23"/>
      <c r="AL104" s="23"/>
      <c r="AM104" s="23"/>
      <c r="AN104" s="5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</row>
  </sheetData>
  <conditionalFormatting sqref="D5:W100">
    <cfRule type="colorScale" priority="14">
      <colorScale>
        <cfvo type="num" val="0"/>
        <cfvo type="num" val="255"/>
        <color theme="1" tint="0.249977111117893"/>
        <color theme="0"/>
      </colorScale>
    </cfRule>
  </conditionalFormatting>
  <conditionalFormatting sqref="X5:AQ28">
    <cfRule type="colorScale" priority="13">
      <colorScale>
        <cfvo type="num" val="0"/>
        <cfvo type="num" val="255"/>
        <color theme="1" tint="0.249977111117893"/>
        <color theme="0"/>
      </colorScale>
    </cfRule>
  </conditionalFormatting>
  <conditionalFormatting sqref="X29:AQ52">
    <cfRule type="colorScale" priority="10">
      <colorScale>
        <cfvo type="num" val="0"/>
        <cfvo type="num" val="255"/>
        <color theme="1" tint="0.249977111117893"/>
        <color theme="0"/>
      </colorScale>
    </cfRule>
  </conditionalFormatting>
  <conditionalFormatting sqref="X53:AQ76">
    <cfRule type="colorScale" priority="7">
      <colorScale>
        <cfvo type="num" val="0"/>
        <cfvo type="num" val="255"/>
        <color theme="1" tint="0.249977111117893"/>
        <color theme="0"/>
      </colorScale>
    </cfRule>
  </conditionalFormatting>
  <conditionalFormatting sqref="X77:AQ100">
    <cfRule type="colorScale" priority="4">
      <colorScale>
        <cfvo type="num" val="0"/>
        <cfvo type="num" val="255"/>
        <color theme="1" tint="0.249977111117893"/>
        <color theme="0"/>
      </colorScale>
    </cfRule>
  </conditionalFormatting>
  <conditionalFormatting sqref="AR5:BK28">
    <cfRule type="colorScale" priority="12">
      <colorScale>
        <cfvo type="num" val="0"/>
        <cfvo type="num" val="255"/>
        <color theme="1" tint="0.249977111117893"/>
        <color theme="0"/>
      </colorScale>
    </cfRule>
  </conditionalFormatting>
  <conditionalFormatting sqref="AR29:BK52">
    <cfRule type="colorScale" priority="9">
      <colorScale>
        <cfvo type="num" val="0"/>
        <cfvo type="num" val="255"/>
        <color theme="1" tint="0.249977111117893"/>
        <color theme="0"/>
      </colorScale>
    </cfRule>
  </conditionalFormatting>
  <conditionalFormatting sqref="AR53:BK76">
    <cfRule type="colorScale" priority="6">
      <colorScale>
        <cfvo type="num" val="0"/>
        <cfvo type="num" val="255"/>
        <color theme="1" tint="0.249977111117893"/>
        <color theme="0"/>
      </colorScale>
    </cfRule>
  </conditionalFormatting>
  <conditionalFormatting sqref="AR77:BK100">
    <cfRule type="colorScale" priority="3">
      <colorScale>
        <cfvo type="num" val="0"/>
        <cfvo type="num" val="255"/>
        <color theme="1" tint="0.249977111117893"/>
        <color theme="0"/>
      </colorScale>
    </cfRule>
  </conditionalFormatting>
  <conditionalFormatting sqref="BL5:CE28">
    <cfRule type="colorScale" priority="11">
      <colorScale>
        <cfvo type="num" val="0"/>
        <cfvo type="num" val="255"/>
        <color theme="1" tint="0.249977111117893"/>
        <color theme="0"/>
      </colorScale>
    </cfRule>
  </conditionalFormatting>
  <conditionalFormatting sqref="BL29:CE52">
    <cfRule type="colorScale" priority="8">
      <colorScale>
        <cfvo type="num" val="0"/>
        <cfvo type="num" val="255"/>
        <color theme="1" tint="0.249977111117893"/>
        <color theme="0"/>
      </colorScale>
    </cfRule>
  </conditionalFormatting>
  <conditionalFormatting sqref="BL53:CE76">
    <cfRule type="colorScale" priority="5">
      <colorScale>
        <cfvo type="num" val="0"/>
        <cfvo type="num" val="255"/>
        <color theme="1" tint="0.249977111117893"/>
        <color theme="0"/>
      </colorScale>
    </cfRule>
  </conditionalFormatting>
  <conditionalFormatting sqref="BL77:CE100">
    <cfRule type="colorScale" priority="2">
      <colorScale>
        <cfvo type="num" val="0"/>
        <cfvo type="num" val="255"/>
        <color theme="1" tint="0.249977111117893"/>
        <color theme="0"/>
      </colorScale>
    </cfRule>
  </conditionalFormatting>
  <conditionalFormatting sqref="CK5:DD28">
    <cfRule type="colorScale" priority="1">
      <colorScale>
        <cfvo type="num" val="0"/>
        <cfvo type="num" val="255"/>
        <color theme="1" tint="0.249977111117893"/>
        <color theme="0"/>
      </colorScale>
    </cfRule>
  </conditionalFormatting>
  <hyperlinks>
    <hyperlink ref="T2" r:id="rId1" xr:uid="{33B6D6EC-47B9-B745-ADB2-B30DAFA13251}"/>
  </hyperlinks>
  <pageMargins left="0.7" right="0.7" top="0.75" bottom="0.75" header="0.3" footer="0.3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E4AAE8-3F49-0244-A2EA-254846DF893F}">
  <sheetPr>
    <tabColor rgb="FF00B050"/>
  </sheetPr>
  <dimension ref="A2:BN57"/>
  <sheetViews>
    <sheetView showGridLines="0" showRowColHeaders="0" topLeftCell="B1" zoomScale="67" zoomScaleNormal="256" workbookViewId="0">
      <selection activeCell="AZ33" sqref="AZ33"/>
    </sheetView>
  </sheetViews>
  <sheetFormatPr baseColWidth="10" defaultColWidth="4.1640625" defaultRowHeight="17" customHeight="1" x14ac:dyDescent="0.2"/>
  <cols>
    <col min="1" max="3" width="4.1640625" style="2"/>
    <col min="4" max="4" width="4.1640625" style="16"/>
    <col min="5" max="6" width="4.1640625" style="4"/>
    <col min="7" max="55" width="4.1640625" style="2"/>
    <col min="56" max="56" width="5.33203125" style="2" bestFit="1" customWidth="1"/>
    <col min="57" max="16384" width="4.1640625" style="2"/>
  </cols>
  <sheetData>
    <row r="2" spans="1:66" s="73" customFormat="1" ht="17" customHeight="1" x14ac:dyDescent="0.2">
      <c r="A2" s="148"/>
      <c r="B2" s="51" t="s">
        <v>51</v>
      </c>
      <c r="C2" s="51" t="s">
        <v>28</v>
      </c>
      <c r="D2" s="51" t="s">
        <v>52</v>
      </c>
      <c r="E2" s="51" t="s">
        <v>14</v>
      </c>
      <c r="F2" s="51" t="s">
        <v>28</v>
      </c>
      <c r="G2" s="51" t="s">
        <v>51</v>
      </c>
      <c r="H2" s="51" t="s">
        <v>22</v>
      </c>
      <c r="I2" s="51" t="s">
        <v>52</v>
      </c>
      <c r="J2" s="51" t="s">
        <v>38</v>
      </c>
      <c r="K2" s="51" t="s">
        <v>33</v>
      </c>
      <c r="L2" s="164"/>
      <c r="M2" s="165" t="s">
        <v>120</v>
      </c>
      <c r="N2" s="164"/>
      <c r="O2" s="164"/>
      <c r="P2" s="164"/>
      <c r="Q2" s="166"/>
    </row>
    <row r="4" spans="1:66" ht="17" customHeight="1" x14ac:dyDescent="0.2">
      <c r="B4" s="29"/>
      <c r="C4" s="29"/>
      <c r="D4" s="28"/>
      <c r="E4" s="29"/>
      <c r="F4" s="29"/>
      <c r="G4" s="3">
        <v>1</v>
      </c>
      <c r="H4" s="3">
        <v>2</v>
      </c>
      <c r="I4" s="3">
        <v>3</v>
      </c>
      <c r="J4" s="3">
        <v>4</v>
      </c>
      <c r="K4" s="3">
        <v>5</v>
      </c>
      <c r="L4" s="3">
        <v>6</v>
      </c>
      <c r="M4" s="3">
        <v>7</v>
      </c>
      <c r="N4" s="3">
        <v>8</v>
      </c>
      <c r="O4" s="3">
        <v>9</v>
      </c>
      <c r="P4" s="3">
        <v>10</v>
      </c>
      <c r="Q4" s="3">
        <v>11</v>
      </c>
      <c r="R4" s="3">
        <v>12</v>
      </c>
      <c r="S4" s="3">
        <v>13</v>
      </c>
      <c r="T4" s="3">
        <v>14</v>
      </c>
      <c r="U4" s="3">
        <v>15</v>
      </c>
      <c r="V4" s="3">
        <v>16</v>
      </c>
      <c r="W4" s="3">
        <v>17</v>
      </c>
      <c r="X4" s="3">
        <v>18</v>
      </c>
      <c r="Y4" s="3">
        <v>19</v>
      </c>
      <c r="Z4" s="3">
        <v>20</v>
      </c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</row>
    <row r="5" spans="1:66" ht="17" customHeight="1" x14ac:dyDescent="0.2">
      <c r="B5" s="3"/>
      <c r="C5" s="3"/>
      <c r="D5" s="28"/>
      <c r="E5" s="29"/>
      <c r="F5" s="29">
        <v>1</v>
      </c>
      <c r="G5" s="3" cm="1">
        <f t="array" aca="1" ref="G5:Z28" ca="1">OFFSET('Dataset-Tumor'!D5, 24*(E6-1), 20*(E7-1), 24, 20)</f>
        <v>0</v>
      </c>
      <c r="H5" s="3">
        <f ca="1"/>
        <v>0</v>
      </c>
      <c r="I5" s="3">
        <f ca="1"/>
        <v>0</v>
      </c>
      <c r="J5" s="3">
        <f ca="1"/>
        <v>0</v>
      </c>
      <c r="K5" s="3">
        <f ca="1"/>
        <v>1</v>
      </c>
      <c r="L5" s="3">
        <f ca="1"/>
        <v>1</v>
      </c>
      <c r="M5" s="3">
        <f ca="1"/>
        <v>1</v>
      </c>
      <c r="N5" s="3">
        <f ca="1"/>
        <v>1</v>
      </c>
      <c r="O5" s="3">
        <f ca="1"/>
        <v>1</v>
      </c>
      <c r="P5" s="3">
        <f ca="1"/>
        <v>1</v>
      </c>
      <c r="Q5" s="3">
        <f ca="1"/>
        <v>1</v>
      </c>
      <c r="R5" s="3">
        <f ca="1"/>
        <v>1</v>
      </c>
      <c r="S5" s="3">
        <f ca="1"/>
        <v>1</v>
      </c>
      <c r="T5" s="3">
        <f ca="1"/>
        <v>1</v>
      </c>
      <c r="U5" s="3">
        <f ca="1"/>
        <v>1</v>
      </c>
      <c r="V5" s="3">
        <f ca="1"/>
        <v>1</v>
      </c>
      <c r="W5" s="3">
        <f ca="1"/>
        <v>0</v>
      </c>
      <c r="X5" s="3">
        <f ca="1"/>
        <v>0</v>
      </c>
      <c r="Y5" s="3">
        <f ca="1"/>
        <v>0</v>
      </c>
      <c r="Z5" s="3">
        <f ca="1"/>
        <v>0</v>
      </c>
      <c r="AA5" s="3"/>
      <c r="AB5" s="3"/>
      <c r="AC5" s="3"/>
      <c r="AD5" s="3"/>
      <c r="AE5" s="3"/>
      <c r="AF5" s="3"/>
      <c r="AG5" s="3"/>
      <c r="AH5" s="3" t="s">
        <v>4</v>
      </c>
      <c r="AI5" s="3"/>
      <c r="AJ5" s="3"/>
      <c r="AL5" s="137"/>
      <c r="AM5" s="137" t="s">
        <v>7</v>
      </c>
      <c r="AN5" s="3"/>
      <c r="AO5" s="3"/>
      <c r="AP5" s="3"/>
      <c r="AQ5" s="3"/>
    </row>
    <row r="6" spans="1:66" ht="17" customHeight="1" x14ac:dyDescent="0.2">
      <c r="B6" s="3"/>
      <c r="C6" s="3"/>
      <c r="D6" s="28" t="s">
        <v>25</v>
      </c>
      <c r="E6" s="49">
        <v>2</v>
      </c>
      <c r="F6" s="29">
        <v>2</v>
      </c>
      <c r="G6" s="3">
        <f ca="1"/>
        <v>0</v>
      </c>
      <c r="H6" s="3">
        <f ca="1"/>
        <v>3</v>
      </c>
      <c r="I6" s="3">
        <f ca="1"/>
        <v>4</v>
      </c>
      <c r="J6" s="3">
        <f ca="1"/>
        <v>4</v>
      </c>
      <c r="K6" s="3">
        <f ca="1"/>
        <v>4</v>
      </c>
      <c r="L6" s="3">
        <f ca="1"/>
        <v>4</v>
      </c>
      <c r="M6" s="3">
        <f ca="1"/>
        <v>4</v>
      </c>
      <c r="N6" s="3">
        <f ca="1"/>
        <v>4</v>
      </c>
      <c r="O6" s="3">
        <f ca="1"/>
        <v>4</v>
      </c>
      <c r="P6" s="3">
        <f ca="1"/>
        <v>4</v>
      </c>
      <c r="Q6" s="3">
        <f ca="1"/>
        <v>4</v>
      </c>
      <c r="R6" s="3">
        <f ca="1"/>
        <v>3</v>
      </c>
      <c r="S6" s="3">
        <f ca="1"/>
        <v>3</v>
      </c>
      <c r="T6" s="3">
        <f ca="1"/>
        <v>3</v>
      </c>
      <c r="U6" s="3">
        <f ca="1"/>
        <v>4</v>
      </c>
      <c r="V6" s="3">
        <f ca="1"/>
        <v>3</v>
      </c>
      <c r="W6" s="3">
        <f ca="1"/>
        <v>4</v>
      </c>
      <c r="X6" s="3">
        <f ca="1"/>
        <v>4</v>
      </c>
      <c r="Y6" s="3">
        <f ca="1"/>
        <v>3</v>
      </c>
      <c r="Z6" s="3">
        <f ca="1"/>
        <v>0</v>
      </c>
      <c r="AA6" s="3"/>
      <c r="AB6" s="3"/>
      <c r="AC6" s="3"/>
      <c r="AD6" s="3"/>
      <c r="AE6" s="3"/>
      <c r="AF6" s="3"/>
      <c r="AG6" s="3"/>
      <c r="AH6" s="88" cm="1">
        <f t="array" aca="1" ref="AH6:AJ8" ca="1">N15:P17</f>
        <v>113</v>
      </c>
      <c r="AI6" s="88">
        <f ca="1"/>
        <v>163</v>
      </c>
      <c r="AJ6" s="88">
        <f ca="1"/>
        <v>165</v>
      </c>
      <c r="AL6" s="3"/>
      <c r="AM6" s="88" cm="1">
        <f t="array" aca="1" ref="AM6:AO8" ca="1">ROUND((_xlfn.ANCHORARRAY(AH6)-127.5)/127.5,1)</f>
        <v>-0.1</v>
      </c>
      <c r="AN6" s="88">
        <f ca="1"/>
        <v>0.3</v>
      </c>
      <c r="AO6" s="88">
        <f ca="1"/>
        <v>0.3</v>
      </c>
      <c r="AP6" s="3"/>
      <c r="AQ6" s="3"/>
      <c r="AR6" s="3"/>
      <c r="AS6" s="3"/>
      <c r="AT6" s="3"/>
      <c r="AU6" s="3"/>
      <c r="AV6" s="3"/>
      <c r="AW6" s="3"/>
      <c r="AX6" s="3"/>
    </row>
    <row r="7" spans="1:66" ht="17" customHeight="1" x14ac:dyDescent="0.2">
      <c r="B7" s="3"/>
      <c r="C7" s="3"/>
      <c r="D7" s="28" t="s">
        <v>21</v>
      </c>
      <c r="E7" s="49">
        <v>2</v>
      </c>
      <c r="F7" s="29">
        <v>3</v>
      </c>
      <c r="G7" s="3">
        <f ca="1"/>
        <v>0</v>
      </c>
      <c r="H7" s="3">
        <f ca="1"/>
        <v>3</v>
      </c>
      <c r="I7" s="3">
        <f ca="1"/>
        <v>4</v>
      </c>
      <c r="J7" s="3">
        <f ca="1"/>
        <v>4</v>
      </c>
      <c r="K7" s="3">
        <f ca="1"/>
        <v>3</v>
      </c>
      <c r="L7" s="3">
        <f ca="1"/>
        <v>4</v>
      </c>
      <c r="M7" s="3">
        <f ca="1"/>
        <v>4</v>
      </c>
      <c r="N7" s="3">
        <f ca="1"/>
        <v>4</v>
      </c>
      <c r="O7" s="3">
        <f ca="1"/>
        <v>4</v>
      </c>
      <c r="P7" s="3">
        <f ca="1"/>
        <v>4</v>
      </c>
      <c r="Q7" s="3">
        <f ca="1"/>
        <v>4</v>
      </c>
      <c r="R7" s="3">
        <f ca="1"/>
        <v>4</v>
      </c>
      <c r="S7" s="3">
        <f ca="1"/>
        <v>4</v>
      </c>
      <c r="T7" s="3">
        <f ca="1"/>
        <v>3</v>
      </c>
      <c r="U7" s="3">
        <f ca="1"/>
        <v>4</v>
      </c>
      <c r="V7" s="3">
        <f ca="1"/>
        <v>3</v>
      </c>
      <c r="W7" s="3">
        <f ca="1"/>
        <v>4</v>
      </c>
      <c r="X7" s="3">
        <f ca="1"/>
        <v>4</v>
      </c>
      <c r="Y7" s="3">
        <f ca="1"/>
        <v>3</v>
      </c>
      <c r="Z7" s="3">
        <f ca="1"/>
        <v>0</v>
      </c>
      <c r="AA7" s="3"/>
      <c r="AB7" s="3"/>
      <c r="AC7" s="3"/>
      <c r="AD7" s="3"/>
      <c r="AE7" s="3"/>
      <c r="AF7" s="3"/>
      <c r="AG7" s="3"/>
      <c r="AH7" s="88">
        <f ca="1"/>
        <v>140</v>
      </c>
      <c r="AI7" s="88">
        <f ca="1"/>
        <v>161</v>
      </c>
      <c r="AJ7" s="88">
        <f ca="1"/>
        <v>161</v>
      </c>
      <c r="AL7" s="3"/>
      <c r="AM7" s="88">
        <f ca="1"/>
        <v>0.1</v>
      </c>
      <c r="AN7" s="88">
        <f ca="1"/>
        <v>0.3</v>
      </c>
      <c r="AO7" s="88">
        <f ca="1"/>
        <v>0.3</v>
      </c>
      <c r="AP7" s="3"/>
      <c r="AQ7" s="3"/>
      <c r="AR7" s="99"/>
      <c r="AS7" s="30"/>
      <c r="AT7" s="30"/>
      <c r="AU7" s="30"/>
      <c r="AV7" s="30"/>
      <c r="AW7" s="30"/>
      <c r="AX7" s="30"/>
      <c r="AY7" s="30"/>
      <c r="AZ7" s="19"/>
      <c r="BA7" s="19"/>
      <c r="BB7" s="19"/>
      <c r="BC7" s="91"/>
      <c r="BE7" s="100"/>
      <c r="BF7" s="19"/>
      <c r="BG7" s="19"/>
      <c r="BH7" s="19"/>
      <c r="BI7" s="19"/>
      <c r="BJ7" s="19"/>
      <c r="BK7" s="19"/>
      <c r="BL7" s="19"/>
      <c r="BM7" s="19"/>
      <c r="BN7" s="91"/>
    </row>
    <row r="8" spans="1:66" ht="17" customHeight="1" x14ac:dyDescent="0.2">
      <c r="B8" s="3"/>
      <c r="C8" s="3"/>
      <c r="D8" s="28"/>
      <c r="E8" s="29"/>
      <c r="F8" s="29">
        <v>4</v>
      </c>
      <c r="G8" s="3">
        <f ca="1"/>
        <v>0</v>
      </c>
      <c r="H8" s="3">
        <f ca="1"/>
        <v>3</v>
      </c>
      <c r="I8" s="3">
        <f ca="1"/>
        <v>4</v>
      </c>
      <c r="J8" s="3">
        <f ca="1"/>
        <v>4</v>
      </c>
      <c r="K8" s="3">
        <f ca="1"/>
        <v>4</v>
      </c>
      <c r="L8" s="3">
        <f ca="1"/>
        <v>4</v>
      </c>
      <c r="M8" s="3">
        <f ca="1"/>
        <v>4</v>
      </c>
      <c r="N8" s="3">
        <f ca="1"/>
        <v>5</v>
      </c>
      <c r="O8" s="3">
        <f ca="1"/>
        <v>5</v>
      </c>
      <c r="P8" s="3">
        <f ca="1"/>
        <v>4</v>
      </c>
      <c r="Q8" s="3">
        <f ca="1"/>
        <v>4</v>
      </c>
      <c r="R8" s="3">
        <f ca="1"/>
        <v>5</v>
      </c>
      <c r="S8" s="3">
        <f ca="1"/>
        <v>4</v>
      </c>
      <c r="T8" s="3">
        <f ca="1"/>
        <v>4</v>
      </c>
      <c r="U8" s="3">
        <f ca="1"/>
        <v>4</v>
      </c>
      <c r="V8" s="3">
        <f ca="1"/>
        <v>3</v>
      </c>
      <c r="W8" s="3">
        <f ca="1"/>
        <v>4</v>
      </c>
      <c r="X8" s="3">
        <f ca="1"/>
        <v>4</v>
      </c>
      <c r="Y8" s="3">
        <f ca="1"/>
        <v>4</v>
      </c>
      <c r="Z8" s="3">
        <f ca="1"/>
        <v>0</v>
      </c>
      <c r="AA8" s="3"/>
      <c r="AB8" s="3"/>
      <c r="AC8" s="3"/>
      <c r="AD8" s="3"/>
      <c r="AE8" s="3"/>
      <c r="AF8" s="3"/>
      <c r="AG8" s="3"/>
      <c r="AH8" s="88">
        <f ca="1"/>
        <v>111</v>
      </c>
      <c r="AI8" s="88">
        <f ca="1"/>
        <v>189</v>
      </c>
      <c r="AJ8" s="88">
        <f ca="1"/>
        <v>181</v>
      </c>
      <c r="AL8" s="3"/>
      <c r="AM8" s="88">
        <f ca="1"/>
        <v>-0.1</v>
      </c>
      <c r="AN8" s="88">
        <f ca="1"/>
        <v>0.5</v>
      </c>
      <c r="AO8" s="88">
        <f ca="1"/>
        <v>0.4</v>
      </c>
      <c r="AP8" s="3"/>
      <c r="AQ8" s="3"/>
      <c r="AR8" s="94"/>
      <c r="AS8" s="139" t="s">
        <v>4</v>
      </c>
      <c r="AT8" s="140"/>
      <c r="AU8" s="139" t="s">
        <v>0</v>
      </c>
      <c r="AV8" s="129"/>
      <c r="AW8" s="140"/>
      <c r="AX8" s="139" t="s">
        <v>1</v>
      </c>
      <c r="AY8" s="89"/>
      <c r="BC8" s="93"/>
      <c r="BE8" s="94"/>
      <c r="BF8" s="139" t="s">
        <v>4</v>
      </c>
      <c r="BG8" s="89"/>
      <c r="BH8" s="89"/>
      <c r="BI8" s="89"/>
      <c r="BJ8" s="89"/>
      <c r="BK8" s="89"/>
      <c r="BL8" s="89"/>
      <c r="BN8" s="93"/>
    </row>
    <row r="9" spans="1:66" ht="17" customHeight="1" x14ac:dyDescent="0.2">
      <c r="B9" s="3"/>
      <c r="C9" s="3"/>
      <c r="D9" s="28"/>
      <c r="E9" s="28" t="s">
        <v>93</v>
      </c>
      <c r="F9" s="29">
        <v>5</v>
      </c>
      <c r="G9" s="3">
        <f ca="1"/>
        <v>0</v>
      </c>
      <c r="H9" s="3">
        <f ca="1"/>
        <v>3</v>
      </c>
      <c r="I9" s="3">
        <f ca="1"/>
        <v>4</v>
      </c>
      <c r="J9" s="3">
        <f ca="1"/>
        <v>3</v>
      </c>
      <c r="K9" s="3">
        <f ca="1"/>
        <v>4</v>
      </c>
      <c r="L9" s="3">
        <f ca="1"/>
        <v>5</v>
      </c>
      <c r="M9" s="3">
        <f ca="1"/>
        <v>5</v>
      </c>
      <c r="N9" s="3">
        <f ca="1"/>
        <v>2</v>
      </c>
      <c r="O9" s="3">
        <f ca="1"/>
        <v>2</v>
      </c>
      <c r="P9" s="3">
        <f ca="1"/>
        <v>6</v>
      </c>
      <c r="Q9" s="3">
        <f ca="1"/>
        <v>6</v>
      </c>
      <c r="R9" s="3">
        <f ca="1"/>
        <v>1</v>
      </c>
      <c r="S9" s="3">
        <f ca="1"/>
        <v>1</v>
      </c>
      <c r="T9" s="3">
        <f ca="1"/>
        <v>4</v>
      </c>
      <c r="U9" s="3">
        <f ca="1"/>
        <v>4</v>
      </c>
      <c r="V9" s="3">
        <f ca="1"/>
        <v>3</v>
      </c>
      <c r="W9" s="3">
        <f ca="1"/>
        <v>3</v>
      </c>
      <c r="X9" s="3">
        <f ca="1"/>
        <v>4</v>
      </c>
      <c r="Y9" s="3">
        <f ca="1"/>
        <v>4</v>
      </c>
      <c r="Z9" s="3">
        <f ca="1"/>
        <v>1</v>
      </c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R9" s="92"/>
      <c r="AS9" s="89" cm="1">
        <f t="array" aca="1" ref="AS9:AS17" ca="1">_xlfn.ANCHORARRAY(AN12)</f>
        <v>-0.1</v>
      </c>
      <c r="AT9" s="90"/>
      <c r="AU9" s="90" cm="1">
        <f t="array" ref="AU9:AU17">TRANSPOSE(AC25:AK25)</f>
        <v>1</v>
      </c>
      <c r="AW9" s="90"/>
      <c r="AX9" s="89">
        <f>AL25</f>
        <v>1</v>
      </c>
      <c r="AY9" s="90"/>
      <c r="BC9" s="93"/>
      <c r="BE9" s="92"/>
      <c r="BF9" s="89" cm="1">
        <f t="array" aca="1" ref="BF9:BF17" ca="1">_xlfn.ANCHORARRAY(AN12)</f>
        <v>-0.1</v>
      </c>
      <c r="BG9" s="90"/>
      <c r="BH9" s="90"/>
      <c r="BI9" s="90"/>
      <c r="BJ9" s="90"/>
      <c r="BK9" s="90"/>
      <c r="BL9" s="90"/>
      <c r="BN9" s="93"/>
    </row>
    <row r="10" spans="1:66" ht="17" customHeight="1" x14ac:dyDescent="0.2">
      <c r="B10" s="3"/>
      <c r="C10" s="3"/>
      <c r="D10" s="28" t="s">
        <v>20</v>
      </c>
      <c r="E10" s="27" cm="1">
        <f t="array" ref="E10:E13">TRANSPOSE(IF(_xlfn.SEQUENCE(1,COUNT([0]!Classes),1,1)=E6,1,0))</f>
        <v>0</v>
      </c>
      <c r="F10" s="29">
        <v>6</v>
      </c>
      <c r="G10" s="3">
        <f ca="1"/>
        <v>1</v>
      </c>
      <c r="H10" s="3">
        <f ca="1"/>
        <v>3</v>
      </c>
      <c r="I10" s="3">
        <f ca="1"/>
        <v>4</v>
      </c>
      <c r="J10" s="3">
        <f ca="1"/>
        <v>4</v>
      </c>
      <c r="K10" s="3">
        <f ca="1"/>
        <v>5</v>
      </c>
      <c r="L10" s="3">
        <f ca="1"/>
        <v>5</v>
      </c>
      <c r="M10" s="3">
        <f ca="1"/>
        <v>4</v>
      </c>
      <c r="N10" s="3">
        <f ca="1"/>
        <v>44</v>
      </c>
      <c r="O10" s="3">
        <f ca="1"/>
        <v>105</v>
      </c>
      <c r="P10" s="3">
        <f ca="1"/>
        <v>130</v>
      </c>
      <c r="Q10" s="3">
        <f ca="1"/>
        <v>132</v>
      </c>
      <c r="R10" s="3">
        <f ca="1"/>
        <v>108</v>
      </c>
      <c r="S10" s="3">
        <f ca="1"/>
        <v>48</v>
      </c>
      <c r="T10" s="3">
        <f ca="1"/>
        <v>3</v>
      </c>
      <c r="U10" s="3">
        <f ca="1"/>
        <v>4</v>
      </c>
      <c r="V10" s="3">
        <f ca="1"/>
        <v>4</v>
      </c>
      <c r="W10" s="3">
        <f ca="1"/>
        <v>4</v>
      </c>
      <c r="X10" s="3">
        <f ca="1"/>
        <v>4</v>
      </c>
      <c r="Y10" s="3">
        <f ca="1"/>
        <v>4</v>
      </c>
      <c r="Z10" s="3">
        <f ca="1"/>
        <v>1</v>
      </c>
      <c r="AA10" s="3"/>
      <c r="AM10" s="25"/>
      <c r="AN10" s="150" t="s">
        <v>105</v>
      </c>
      <c r="AO10" s="25"/>
      <c r="AR10" s="94"/>
      <c r="AS10" s="90">
        <f ca="1"/>
        <v>0.3</v>
      </c>
      <c r="AT10" s="89"/>
      <c r="AU10" s="90">
        <v>1</v>
      </c>
      <c r="AV10" s="90"/>
      <c r="AW10" s="89"/>
      <c r="AY10" s="89"/>
      <c r="BC10" s="93"/>
      <c r="BE10" s="94"/>
      <c r="BF10" s="90">
        <f ca="1"/>
        <v>0.3</v>
      </c>
      <c r="BG10" s="89"/>
      <c r="BH10" s="90"/>
      <c r="BI10" s="97"/>
      <c r="BJ10" s="89"/>
      <c r="BK10" s="89"/>
      <c r="BL10" s="89"/>
      <c r="BN10" s="93"/>
    </row>
    <row r="11" spans="1:66" ht="17" customHeight="1" x14ac:dyDescent="0.2">
      <c r="B11" s="3"/>
      <c r="C11" s="3"/>
      <c r="D11" s="28" t="s">
        <v>8</v>
      </c>
      <c r="E11" s="27">
        <v>1</v>
      </c>
      <c r="F11" s="29">
        <v>7</v>
      </c>
      <c r="G11" s="3">
        <f ca="1"/>
        <v>1</v>
      </c>
      <c r="H11" s="3">
        <f ca="1"/>
        <v>4</v>
      </c>
      <c r="I11" s="3">
        <f ca="1"/>
        <v>4</v>
      </c>
      <c r="J11" s="3">
        <f ca="1"/>
        <v>5</v>
      </c>
      <c r="K11" s="3">
        <f ca="1"/>
        <v>5</v>
      </c>
      <c r="L11" s="3">
        <f ca="1"/>
        <v>4</v>
      </c>
      <c r="M11" s="3">
        <f ca="1"/>
        <v>71</v>
      </c>
      <c r="N11" s="3">
        <f ca="1"/>
        <v>144</v>
      </c>
      <c r="O11" s="3">
        <f ca="1"/>
        <v>115</v>
      </c>
      <c r="P11" s="3">
        <f ca="1"/>
        <v>98</v>
      </c>
      <c r="Q11" s="3">
        <f ca="1"/>
        <v>102</v>
      </c>
      <c r="R11" s="3">
        <f ca="1"/>
        <v>129</v>
      </c>
      <c r="S11" s="3">
        <f ca="1"/>
        <v>155</v>
      </c>
      <c r="T11" s="3">
        <f ca="1"/>
        <v>79</v>
      </c>
      <c r="U11" s="3">
        <f ca="1"/>
        <v>1</v>
      </c>
      <c r="V11" s="3">
        <f ca="1"/>
        <v>5</v>
      </c>
      <c r="W11" s="3">
        <f ca="1"/>
        <v>4</v>
      </c>
      <c r="X11" s="3">
        <f ca="1"/>
        <v>4</v>
      </c>
      <c r="Y11" s="3">
        <f ca="1"/>
        <v>4</v>
      </c>
      <c r="Z11" s="3">
        <f ca="1"/>
        <v>1</v>
      </c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25"/>
      <c r="AN11" s="25" t="s">
        <v>6</v>
      </c>
      <c r="AO11" s="25"/>
      <c r="AP11" s="3"/>
      <c r="AR11" s="94"/>
      <c r="AS11" s="89">
        <f ca="1"/>
        <v>0.3</v>
      </c>
      <c r="AT11" s="89"/>
      <c r="AU11" s="90">
        <v>0</v>
      </c>
      <c r="AV11" s="90"/>
      <c r="AW11" s="89"/>
      <c r="AY11" s="89"/>
      <c r="BC11" s="93"/>
      <c r="BE11" s="94"/>
      <c r="BF11" s="89">
        <f ca="1"/>
        <v>0.3</v>
      </c>
      <c r="BG11" s="89"/>
      <c r="BH11" s="90"/>
      <c r="BI11" s="90"/>
      <c r="BJ11" s="89"/>
      <c r="BL11" s="98"/>
      <c r="BM11" s="141" t="s">
        <v>18</v>
      </c>
      <c r="BN11" s="93"/>
    </row>
    <row r="12" spans="1:66" ht="17" customHeight="1" x14ac:dyDescent="0.2">
      <c r="B12" s="3"/>
      <c r="C12" s="3"/>
      <c r="D12" s="28" t="s">
        <v>9</v>
      </c>
      <c r="E12" s="27">
        <v>0</v>
      </c>
      <c r="F12" s="29">
        <v>8</v>
      </c>
      <c r="G12" s="3">
        <f ca="1"/>
        <v>1</v>
      </c>
      <c r="H12" s="3">
        <f ca="1"/>
        <v>4</v>
      </c>
      <c r="I12" s="3">
        <f ca="1"/>
        <v>5</v>
      </c>
      <c r="J12" s="3">
        <f ca="1"/>
        <v>5</v>
      </c>
      <c r="K12" s="3">
        <f ca="1"/>
        <v>2</v>
      </c>
      <c r="L12" s="3">
        <f ca="1"/>
        <v>44</v>
      </c>
      <c r="M12" s="3">
        <f ca="1"/>
        <v>137</v>
      </c>
      <c r="N12" s="3">
        <f ca="1"/>
        <v>76</v>
      </c>
      <c r="O12" s="3">
        <f ca="1"/>
        <v>63</v>
      </c>
      <c r="P12" s="3">
        <f ca="1"/>
        <v>85</v>
      </c>
      <c r="Q12" s="3">
        <f ca="1"/>
        <v>95</v>
      </c>
      <c r="R12" s="3">
        <f ca="1"/>
        <v>63</v>
      </c>
      <c r="S12" s="3">
        <f ca="1"/>
        <v>79</v>
      </c>
      <c r="T12" s="3">
        <f ca="1"/>
        <v>153</v>
      </c>
      <c r="U12" s="3">
        <f ca="1"/>
        <v>57</v>
      </c>
      <c r="V12" s="3">
        <f ca="1"/>
        <v>1</v>
      </c>
      <c r="W12" s="3">
        <f ca="1"/>
        <v>5</v>
      </c>
      <c r="X12" s="3">
        <f ca="1"/>
        <v>4</v>
      </c>
      <c r="Y12" s="3">
        <f ca="1"/>
        <v>4</v>
      </c>
      <c r="Z12" s="3">
        <f ca="1"/>
        <v>1</v>
      </c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25"/>
      <c r="AN12" s="87" cm="1">
        <f t="array" aca="1" ref="AN12:AN20" ca="1">_xlfn.TOCOL(_xlfn.ANCHORARRAY(AM6))</f>
        <v>-0.1</v>
      </c>
      <c r="AO12" s="25"/>
      <c r="AP12" s="3"/>
      <c r="AR12" s="94"/>
      <c r="AS12" s="89">
        <f ca="1"/>
        <v>0.1</v>
      </c>
      <c r="AT12" s="89"/>
      <c r="AU12" s="90">
        <v>0</v>
      </c>
      <c r="AV12" s="90"/>
      <c r="AW12" s="89"/>
      <c r="BC12" s="93"/>
      <c r="BE12" s="94"/>
      <c r="BF12" s="89">
        <f ca="1"/>
        <v>0.1</v>
      </c>
      <c r="BG12" s="89"/>
      <c r="BH12" s="90"/>
      <c r="BI12" s="90"/>
      <c r="BJ12" s="89"/>
      <c r="BK12" s="89" cm="1">
        <f t="array" aca="1" ref="BK12:BK15" ca="1">_xlfn.ANCHORARRAY(AN24)</f>
        <v>1.9</v>
      </c>
      <c r="BL12" s="89"/>
      <c r="BM12" s="90" cm="1">
        <f t="array" aca="1" ref="BM12:BM15" ca="1">_xlfn.ANCHORARRAY(AT24)</f>
        <v>0.28999999999999998</v>
      </c>
      <c r="BN12" s="93"/>
    </row>
    <row r="13" spans="1:66" ht="17" customHeight="1" x14ac:dyDescent="0.2">
      <c r="B13" s="3"/>
      <c r="C13" s="3"/>
      <c r="D13" s="28" t="s">
        <v>10</v>
      </c>
      <c r="E13" s="27">
        <v>0</v>
      </c>
      <c r="F13" s="29">
        <v>9</v>
      </c>
      <c r="G13" s="3">
        <f ca="1"/>
        <v>1</v>
      </c>
      <c r="H13" s="3">
        <f ca="1"/>
        <v>4</v>
      </c>
      <c r="I13" s="3">
        <f ca="1"/>
        <v>5</v>
      </c>
      <c r="J13" s="3">
        <f ca="1"/>
        <v>5</v>
      </c>
      <c r="K13" s="3">
        <f ca="1"/>
        <v>10</v>
      </c>
      <c r="L13" s="3">
        <f ca="1"/>
        <v>112</v>
      </c>
      <c r="M13" s="3">
        <f ca="1"/>
        <v>106</v>
      </c>
      <c r="N13" s="3">
        <f ca="1"/>
        <v>64</v>
      </c>
      <c r="O13" s="3">
        <f ca="1"/>
        <v>71</v>
      </c>
      <c r="P13" s="3">
        <f ca="1"/>
        <v>87</v>
      </c>
      <c r="Q13" s="3">
        <f ca="1"/>
        <v>91</v>
      </c>
      <c r="R13" s="3">
        <f ca="1"/>
        <v>80</v>
      </c>
      <c r="S13" s="3">
        <f ca="1"/>
        <v>72</v>
      </c>
      <c r="T13" s="3">
        <f ca="1"/>
        <v>103</v>
      </c>
      <c r="U13" s="3">
        <f ca="1"/>
        <v>147</v>
      </c>
      <c r="V13" s="3">
        <f ca="1"/>
        <v>18</v>
      </c>
      <c r="W13" s="3">
        <f ca="1"/>
        <v>3</v>
      </c>
      <c r="X13" s="3">
        <f ca="1"/>
        <v>5</v>
      </c>
      <c r="Y13" s="3">
        <f ca="1"/>
        <v>4</v>
      </c>
      <c r="Z13" s="3">
        <f ca="1"/>
        <v>1</v>
      </c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25"/>
      <c r="AN13" s="87">
        <f ca="1"/>
        <v>0.3</v>
      </c>
      <c r="AO13" s="25"/>
      <c r="AP13" s="3"/>
      <c r="AR13" s="94"/>
      <c r="AS13" s="89">
        <f ca="1"/>
        <v>0.3</v>
      </c>
      <c r="AT13" s="89"/>
      <c r="AU13" s="90">
        <v>0</v>
      </c>
      <c r="AV13" s="90"/>
      <c r="AW13" s="90"/>
      <c r="AX13" s="98" t="s">
        <v>67</v>
      </c>
      <c r="AY13" s="89"/>
      <c r="AZ13" s="98" t="s">
        <v>66</v>
      </c>
      <c r="BB13" s="139" t="s">
        <v>95</v>
      </c>
      <c r="BC13" s="93"/>
      <c r="BE13" s="94"/>
      <c r="BF13" s="89">
        <f ca="1"/>
        <v>0.3</v>
      </c>
      <c r="BG13" s="89"/>
      <c r="BI13" s="90"/>
      <c r="BJ13" s="90"/>
      <c r="BK13" s="90">
        <f ca="1"/>
        <v>1.5</v>
      </c>
      <c r="BL13" s="89"/>
      <c r="BM13" s="90">
        <f ca="1"/>
        <v>0.19</v>
      </c>
      <c r="BN13" s="93"/>
    </row>
    <row r="14" spans="1:66" ht="17" customHeight="1" x14ac:dyDescent="0.2">
      <c r="B14" s="3"/>
      <c r="C14" s="3"/>
      <c r="D14" s="28"/>
      <c r="E14" s="29"/>
      <c r="F14" s="29">
        <v>10</v>
      </c>
      <c r="G14" s="3">
        <f ca="1"/>
        <v>1</v>
      </c>
      <c r="H14" s="3">
        <f ca="1"/>
        <v>5</v>
      </c>
      <c r="I14" s="3">
        <f ca="1"/>
        <v>5</v>
      </c>
      <c r="J14" s="3">
        <f ca="1"/>
        <v>2</v>
      </c>
      <c r="K14" s="3">
        <f ca="1"/>
        <v>55</v>
      </c>
      <c r="L14" s="3">
        <f ca="1"/>
        <v>134</v>
      </c>
      <c r="M14" s="3">
        <f ca="1"/>
        <v>71</v>
      </c>
      <c r="N14" s="3">
        <f ca="1"/>
        <v>79</v>
      </c>
      <c r="O14" s="3">
        <f ca="1"/>
        <v>128</v>
      </c>
      <c r="P14" s="3">
        <f ca="1"/>
        <v>172</v>
      </c>
      <c r="Q14" s="3">
        <f ca="1"/>
        <v>120</v>
      </c>
      <c r="R14" s="3">
        <f ca="1"/>
        <v>82</v>
      </c>
      <c r="S14" s="3">
        <f ca="1"/>
        <v>81</v>
      </c>
      <c r="T14" s="3">
        <f ca="1"/>
        <v>68</v>
      </c>
      <c r="U14" s="3">
        <f ca="1"/>
        <v>141</v>
      </c>
      <c r="V14" s="3">
        <f ca="1"/>
        <v>94</v>
      </c>
      <c r="W14" s="3">
        <f ca="1"/>
        <v>1</v>
      </c>
      <c r="X14" s="3">
        <f ca="1"/>
        <v>4</v>
      </c>
      <c r="Y14" s="3">
        <f ca="1"/>
        <v>4</v>
      </c>
      <c r="Z14" s="3">
        <f ca="1"/>
        <v>1</v>
      </c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25"/>
      <c r="AN14" s="87">
        <f ca="1"/>
        <v>0.3</v>
      </c>
      <c r="AO14" s="25"/>
      <c r="AP14" s="3"/>
      <c r="AR14" s="94"/>
      <c r="AS14" s="89">
        <f ca="1"/>
        <v>0.3</v>
      </c>
      <c r="AT14" s="89"/>
      <c r="AU14" s="90">
        <v>0</v>
      </c>
      <c r="AV14" s="90"/>
      <c r="AW14" s="89"/>
      <c r="AX14" s="129">
        <f ca="1">AN25</f>
        <v>1.5</v>
      </c>
      <c r="AY14" s="89"/>
      <c r="AZ14" s="138">
        <f ca="1">AT25</f>
        <v>0.19</v>
      </c>
      <c r="BC14" s="93"/>
      <c r="BE14" s="94"/>
      <c r="BF14" s="89">
        <f ca="1"/>
        <v>0.3</v>
      </c>
      <c r="BG14" s="89"/>
      <c r="BH14" s="90"/>
      <c r="BI14" s="90"/>
      <c r="BJ14" s="89"/>
      <c r="BK14" s="89">
        <f ca="1"/>
        <v>2.1</v>
      </c>
      <c r="BL14" s="89"/>
      <c r="BM14" s="90">
        <f ca="1"/>
        <v>0.36</v>
      </c>
      <c r="BN14" s="93"/>
    </row>
    <row r="15" spans="1:66" ht="17" customHeight="1" x14ac:dyDescent="0.2">
      <c r="B15" s="3"/>
      <c r="C15" s="3"/>
      <c r="D15" s="28"/>
      <c r="E15" s="29"/>
      <c r="F15" s="29">
        <v>11</v>
      </c>
      <c r="G15" s="3">
        <f ca="1"/>
        <v>1</v>
      </c>
      <c r="H15" s="3">
        <f ca="1"/>
        <v>5</v>
      </c>
      <c r="I15" s="3">
        <f ca="1"/>
        <v>4</v>
      </c>
      <c r="J15" s="3">
        <f ca="1"/>
        <v>7</v>
      </c>
      <c r="K15" s="3">
        <f ca="1"/>
        <v>115</v>
      </c>
      <c r="L15" s="3">
        <f ca="1"/>
        <v>101</v>
      </c>
      <c r="M15" s="3">
        <f ca="1"/>
        <v>66</v>
      </c>
      <c r="N15" s="88">
        <f ca="1"/>
        <v>113</v>
      </c>
      <c r="O15" s="88">
        <f ca="1"/>
        <v>163</v>
      </c>
      <c r="P15" s="88">
        <f ca="1"/>
        <v>165</v>
      </c>
      <c r="Q15" s="3">
        <f ca="1"/>
        <v>147</v>
      </c>
      <c r="R15" s="3">
        <f ca="1"/>
        <v>85</v>
      </c>
      <c r="S15" s="3">
        <f ca="1"/>
        <v>93</v>
      </c>
      <c r="T15" s="3">
        <f ca="1"/>
        <v>79</v>
      </c>
      <c r="U15" s="3">
        <f ca="1"/>
        <v>87</v>
      </c>
      <c r="V15" s="3">
        <f ca="1"/>
        <v>158</v>
      </c>
      <c r="W15" s="3">
        <f ca="1"/>
        <v>31</v>
      </c>
      <c r="X15" s="3">
        <f ca="1"/>
        <v>2</v>
      </c>
      <c r="Y15" s="3">
        <f ca="1"/>
        <v>4</v>
      </c>
      <c r="Z15" s="3">
        <f ca="1"/>
        <v>1</v>
      </c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25"/>
      <c r="AN15" s="87">
        <f ca="1"/>
        <v>0.1</v>
      </c>
      <c r="AO15" s="25"/>
      <c r="AP15" s="3"/>
      <c r="AR15" s="94"/>
      <c r="AS15" s="89">
        <f ca="1"/>
        <v>-0.1</v>
      </c>
      <c r="AT15" s="89"/>
      <c r="AU15" s="90">
        <v>1</v>
      </c>
      <c r="AV15" s="90"/>
      <c r="AW15" s="89"/>
      <c r="AX15" s="89"/>
      <c r="AY15" s="89"/>
      <c r="AZ15" s="90"/>
      <c r="BC15" s="93"/>
      <c r="BE15" s="94"/>
      <c r="BF15" s="89">
        <f ca="1"/>
        <v>-0.1</v>
      </c>
      <c r="BG15" s="89"/>
      <c r="BH15" s="90"/>
      <c r="BI15" s="90"/>
      <c r="BJ15" s="89"/>
      <c r="BK15" s="89">
        <f ca="1"/>
        <v>1.3</v>
      </c>
      <c r="BL15" s="89"/>
      <c r="BM15" s="90">
        <f ca="1"/>
        <v>0.16</v>
      </c>
      <c r="BN15" s="93"/>
    </row>
    <row r="16" spans="1:66" ht="17" customHeight="1" x14ac:dyDescent="0.2">
      <c r="B16" s="3"/>
      <c r="C16" s="3"/>
      <c r="D16" s="28"/>
      <c r="E16" s="29"/>
      <c r="F16" s="29">
        <v>12</v>
      </c>
      <c r="G16" s="3">
        <f ca="1"/>
        <v>1</v>
      </c>
      <c r="H16" s="3">
        <f ca="1"/>
        <v>5</v>
      </c>
      <c r="I16" s="3">
        <f ca="1"/>
        <v>2</v>
      </c>
      <c r="J16" s="3">
        <f ca="1"/>
        <v>31</v>
      </c>
      <c r="K16" s="3">
        <f ca="1"/>
        <v>141</v>
      </c>
      <c r="L16" s="3">
        <f ca="1"/>
        <v>79</v>
      </c>
      <c r="M16" s="3">
        <f ca="1"/>
        <v>73</v>
      </c>
      <c r="N16" s="88">
        <f ca="1"/>
        <v>140</v>
      </c>
      <c r="O16" s="88">
        <f ca="1"/>
        <v>161</v>
      </c>
      <c r="P16" s="88">
        <f ca="1"/>
        <v>161</v>
      </c>
      <c r="Q16" s="3">
        <f ca="1"/>
        <v>141</v>
      </c>
      <c r="R16" s="3">
        <f ca="1"/>
        <v>87</v>
      </c>
      <c r="S16" s="3">
        <f ca="1"/>
        <v>97</v>
      </c>
      <c r="T16" s="3">
        <f ca="1"/>
        <v>90</v>
      </c>
      <c r="U16" s="3">
        <f ca="1"/>
        <v>76</v>
      </c>
      <c r="V16" s="3">
        <f ca="1"/>
        <v>138</v>
      </c>
      <c r="W16" s="3">
        <f ca="1"/>
        <v>88</v>
      </c>
      <c r="X16" s="3">
        <f ca="1"/>
        <v>0</v>
      </c>
      <c r="Y16" s="3">
        <f ca="1"/>
        <v>5</v>
      </c>
      <c r="Z16" s="3">
        <f ca="1"/>
        <v>2</v>
      </c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25"/>
      <c r="AN16" s="87">
        <f ca="1"/>
        <v>0.3</v>
      </c>
      <c r="AO16" s="150" t="s">
        <v>102</v>
      </c>
      <c r="AP16" s="3"/>
      <c r="AR16" s="94"/>
      <c r="AS16" s="89">
        <f ca="1"/>
        <v>0.5</v>
      </c>
      <c r="AT16" s="89"/>
      <c r="AU16" s="90">
        <v>0</v>
      </c>
      <c r="AV16" s="90"/>
      <c r="AW16" s="89"/>
      <c r="AY16" s="89"/>
      <c r="BC16" s="93"/>
      <c r="BE16" s="94"/>
      <c r="BF16" s="89">
        <f ca="1"/>
        <v>0.5</v>
      </c>
      <c r="BG16" s="89"/>
      <c r="BH16" s="90"/>
      <c r="BI16" s="90"/>
      <c r="BJ16" s="89"/>
      <c r="BK16" s="89"/>
      <c r="BL16" s="89"/>
      <c r="BN16" s="93"/>
    </row>
    <row r="17" spans="2:66" ht="17" customHeight="1" x14ac:dyDescent="0.2">
      <c r="B17" s="3"/>
      <c r="C17" s="3"/>
      <c r="D17" s="28"/>
      <c r="E17" s="29"/>
      <c r="F17" s="29">
        <v>13</v>
      </c>
      <c r="G17" s="3">
        <f ca="1"/>
        <v>1</v>
      </c>
      <c r="H17" s="3">
        <f ca="1"/>
        <v>5</v>
      </c>
      <c r="I17" s="3">
        <f ca="1"/>
        <v>0</v>
      </c>
      <c r="J17" s="3">
        <f ca="1"/>
        <v>56</v>
      </c>
      <c r="K17" s="3">
        <f ca="1"/>
        <v>144</v>
      </c>
      <c r="L17" s="3">
        <f ca="1"/>
        <v>81</v>
      </c>
      <c r="M17" s="3">
        <f ca="1"/>
        <v>80</v>
      </c>
      <c r="N17" s="88">
        <f ca="1"/>
        <v>111</v>
      </c>
      <c r="O17" s="88">
        <f ca="1"/>
        <v>189</v>
      </c>
      <c r="P17" s="88">
        <f ca="1"/>
        <v>181</v>
      </c>
      <c r="Q17" s="3">
        <f ca="1"/>
        <v>127</v>
      </c>
      <c r="R17" s="3">
        <f ca="1"/>
        <v>92</v>
      </c>
      <c r="S17" s="3">
        <f ca="1"/>
        <v>99</v>
      </c>
      <c r="T17" s="3">
        <f ca="1"/>
        <v>95</v>
      </c>
      <c r="U17" s="3">
        <f ca="1"/>
        <v>85</v>
      </c>
      <c r="V17" s="3">
        <f ca="1"/>
        <v>116</v>
      </c>
      <c r="W17" s="3">
        <f ca="1"/>
        <v>121</v>
      </c>
      <c r="X17" s="3">
        <f ca="1"/>
        <v>3</v>
      </c>
      <c r="Y17" s="3">
        <f ca="1"/>
        <v>5</v>
      </c>
      <c r="Z17" s="3">
        <f ca="1"/>
        <v>2</v>
      </c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25"/>
      <c r="AN17" s="87">
        <f ca="1"/>
        <v>0.3</v>
      </c>
      <c r="AO17" s="25"/>
      <c r="AP17" s="3"/>
      <c r="AR17" s="94"/>
      <c r="AS17" s="89">
        <f ca="1"/>
        <v>0.4</v>
      </c>
      <c r="AT17" s="89"/>
      <c r="AU17" s="89">
        <v>1</v>
      </c>
      <c r="AV17" s="89"/>
      <c r="AW17" s="89"/>
      <c r="AX17" s="89"/>
      <c r="AY17" s="89"/>
      <c r="BC17" s="93"/>
      <c r="BE17" s="94"/>
      <c r="BF17" s="89">
        <f ca="1"/>
        <v>0.4</v>
      </c>
      <c r="BG17" s="89"/>
      <c r="BH17" s="89"/>
      <c r="BI17" s="89"/>
      <c r="BJ17" s="89"/>
      <c r="BK17" s="89"/>
      <c r="BL17" s="89"/>
      <c r="BN17" s="93"/>
    </row>
    <row r="18" spans="2:66" ht="17" customHeight="1" x14ac:dyDescent="0.2">
      <c r="B18" s="3"/>
      <c r="C18" s="3"/>
      <c r="D18" s="28"/>
      <c r="E18" s="29"/>
      <c r="F18" s="29">
        <v>14</v>
      </c>
      <c r="G18" s="3">
        <f ca="1"/>
        <v>1</v>
      </c>
      <c r="H18" s="3">
        <f ca="1"/>
        <v>5</v>
      </c>
      <c r="I18" s="3">
        <f ca="1"/>
        <v>1</v>
      </c>
      <c r="J18" s="3">
        <f ca="1"/>
        <v>52</v>
      </c>
      <c r="K18" s="3">
        <f ca="1"/>
        <v>146</v>
      </c>
      <c r="L18" s="3">
        <f ca="1"/>
        <v>83</v>
      </c>
      <c r="M18" s="3">
        <f ca="1"/>
        <v>83</v>
      </c>
      <c r="N18" s="3">
        <f ca="1"/>
        <v>87</v>
      </c>
      <c r="O18" s="3">
        <f ca="1"/>
        <v>133</v>
      </c>
      <c r="P18" s="3">
        <f ca="1"/>
        <v>108</v>
      </c>
      <c r="Q18" s="3">
        <f ca="1"/>
        <v>92</v>
      </c>
      <c r="R18" s="3">
        <f ca="1"/>
        <v>100</v>
      </c>
      <c r="S18" s="3">
        <f ca="1"/>
        <v>97</v>
      </c>
      <c r="T18" s="3">
        <f ca="1"/>
        <v>96</v>
      </c>
      <c r="U18" s="3">
        <f ca="1"/>
        <v>87</v>
      </c>
      <c r="V18" s="3">
        <f ca="1"/>
        <v>116</v>
      </c>
      <c r="W18" s="3">
        <f ca="1"/>
        <v>131</v>
      </c>
      <c r="X18" s="3">
        <f ca="1"/>
        <v>4</v>
      </c>
      <c r="Y18" s="3">
        <f ca="1"/>
        <v>4</v>
      </c>
      <c r="Z18" s="3">
        <f ca="1"/>
        <v>2</v>
      </c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25"/>
      <c r="AN18" s="87">
        <f ca="1"/>
        <v>-0.1</v>
      </c>
      <c r="AO18" s="25"/>
      <c r="AP18" s="3"/>
      <c r="AR18" s="95"/>
      <c r="AS18" s="15"/>
      <c r="AT18" s="15"/>
      <c r="AU18" s="15"/>
      <c r="AV18" s="15"/>
      <c r="AW18" s="15"/>
      <c r="AX18" s="15"/>
      <c r="AY18" s="15"/>
      <c r="AZ18" s="15"/>
      <c r="BA18" s="15"/>
      <c r="BB18" s="15"/>
      <c r="BC18" s="96"/>
      <c r="BE18" s="95"/>
      <c r="BF18" s="15"/>
      <c r="BG18" s="15"/>
      <c r="BH18" s="15"/>
      <c r="BI18" s="15"/>
      <c r="BJ18" s="15"/>
      <c r="BK18" s="15"/>
      <c r="BL18" s="15"/>
      <c r="BM18" s="15"/>
      <c r="BN18" s="96"/>
    </row>
    <row r="19" spans="2:66" ht="17" customHeight="1" x14ac:dyDescent="0.2">
      <c r="B19" s="3"/>
      <c r="C19" s="3"/>
      <c r="D19" s="28"/>
      <c r="E19" s="29"/>
      <c r="F19" s="29">
        <v>15</v>
      </c>
      <c r="G19" s="3">
        <f ca="1"/>
        <v>1</v>
      </c>
      <c r="H19" s="3">
        <f ca="1"/>
        <v>5</v>
      </c>
      <c r="I19" s="3">
        <f ca="1"/>
        <v>3</v>
      </c>
      <c r="J19" s="3">
        <f ca="1"/>
        <v>20</v>
      </c>
      <c r="K19" s="3">
        <f ca="1"/>
        <v>145</v>
      </c>
      <c r="L19" s="3">
        <f ca="1"/>
        <v>108</v>
      </c>
      <c r="M19" s="3">
        <f ca="1"/>
        <v>85</v>
      </c>
      <c r="N19" s="3">
        <f ca="1"/>
        <v>86</v>
      </c>
      <c r="O19" s="3">
        <f ca="1"/>
        <v>88</v>
      </c>
      <c r="P19" s="3">
        <f ca="1"/>
        <v>88</v>
      </c>
      <c r="Q19" s="3">
        <f ca="1"/>
        <v>94</v>
      </c>
      <c r="R19" s="3">
        <f ca="1"/>
        <v>98</v>
      </c>
      <c r="S19" s="3">
        <f ca="1"/>
        <v>98</v>
      </c>
      <c r="T19" s="3">
        <f ca="1"/>
        <v>88</v>
      </c>
      <c r="U19" s="3">
        <f ca="1"/>
        <v>76</v>
      </c>
      <c r="V19" s="3">
        <f ca="1"/>
        <v>140</v>
      </c>
      <c r="W19" s="3">
        <f ca="1"/>
        <v>103</v>
      </c>
      <c r="X19" s="3">
        <f ca="1"/>
        <v>1</v>
      </c>
      <c r="Y19" s="3">
        <f ca="1"/>
        <v>4</v>
      </c>
      <c r="Z19" s="3">
        <f ca="1"/>
        <v>1</v>
      </c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25"/>
      <c r="AN19" s="87">
        <f ca="1"/>
        <v>0.5</v>
      </c>
      <c r="AO19" s="25"/>
      <c r="AP19" s="3"/>
    </row>
    <row r="20" spans="2:66" ht="17" customHeight="1" x14ac:dyDescent="0.2">
      <c r="B20" s="3"/>
      <c r="C20" s="3"/>
      <c r="D20" s="28"/>
      <c r="E20" s="29"/>
      <c r="F20" s="29">
        <v>16</v>
      </c>
      <c r="G20" s="3">
        <f ca="1"/>
        <v>1</v>
      </c>
      <c r="H20" s="3">
        <f ca="1"/>
        <v>4</v>
      </c>
      <c r="I20" s="3">
        <f ca="1"/>
        <v>5</v>
      </c>
      <c r="J20" s="3">
        <f ca="1"/>
        <v>1</v>
      </c>
      <c r="K20" s="3">
        <f ca="1"/>
        <v>88</v>
      </c>
      <c r="L20" s="3">
        <f ca="1"/>
        <v>154</v>
      </c>
      <c r="M20" s="3">
        <f ca="1"/>
        <v>77</v>
      </c>
      <c r="N20" s="3">
        <f ca="1"/>
        <v>87</v>
      </c>
      <c r="O20" s="3">
        <f ca="1"/>
        <v>93</v>
      </c>
      <c r="P20" s="3">
        <f ca="1"/>
        <v>96</v>
      </c>
      <c r="Q20" s="3">
        <f ca="1"/>
        <v>100</v>
      </c>
      <c r="R20" s="3">
        <f ca="1"/>
        <v>93</v>
      </c>
      <c r="S20" s="3">
        <f ca="1"/>
        <v>95</v>
      </c>
      <c r="T20" s="3">
        <f ca="1"/>
        <v>77</v>
      </c>
      <c r="U20" s="3">
        <f ca="1"/>
        <v>85</v>
      </c>
      <c r="V20" s="3">
        <f ca="1"/>
        <v>173</v>
      </c>
      <c r="W20" s="3">
        <f ca="1"/>
        <v>52</v>
      </c>
      <c r="X20" s="3">
        <f ca="1"/>
        <v>0</v>
      </c>
      <c r="Y20" s="3">
        <f ca="1"/>
        <v>4</v>
      </c>
      <c r="Z20" s="3">
        <f ca="1"/>
        <v>1</v>
      </c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25"/>
      <c r="AN20" s="87">
        <f ca="1"/>
        <v>0.4</v>
      </c>
      <c r="AO20" s="25"/>
      <c r="AP20" s="3"/>
      <c r="AQ20" s="3"/>
      <c r="AR20" s="89"/>
      <c r="AS20" s="89"/>
      <c r="AT20" s="89"/>
      <c r="AU20" s="89"/>
      <c r="AV20" s="89"/>
      <c r="AW20" s="89"/>
      <c r="AX20" s="89"/>
      <c r="AY20" s="89"/>
    </row>
    <row r="21" spans="2:66" ht="17" customHeight="1" x14ac:dyDescent="0.2">
      <c r="B21" s="3"/>
      <c r="C21" s="3"/>
      <c r="D21" s="28"/>
      <c r="E21" s="29"/>
      <c r="F21" s="29">
        <v>17</v>
      </c>
      <c r="G21" s="3">
        <f ca="1"/>
        <v>1</v>
      </c>
      <c r="H21" s="3">
        <f ca="1"/>
        <v>4</v>
      </c>
      <c r="I21" s="3">
        <f ca="1"/>
        <v>4</v>
      </c>
      <c r="J21" s="3">
        <f ca="1"/>
        <v>3</v>
      </c>
      <c r="K21" s="3">
        <f ca="1"/>
        <v>15</v>
      </c>
      <c r="L21" s="3">
        <f ca="1"/>
        <v>139</v>
      </c>
      <c r="M21" s="3">
        <f ca="1"/>
        <v>125</v>
      </c>
      <c r="N21" s="3">
        <f ca="1"/>
        <v>73</v>
      </c>
      <c r="O21" s="3">
        <f ca="1"/>
        <v>87</v>
      </c>
      <c r="P21" s="3">
        <f ca="1"/>
        <v>94</v>
      </c>
      <c r="Q21" s="3">
        <f ca="1"/>
        <v>93</v>
      </c>
      <c r="R21" s="3">
        <f ca="1"/>
        <v>87</v>
      </c>
      <c r="S21" s="3">
        <f ca="1"/>
        <v>81</v>
      </c>
      <c r="T21" s="3">
        <f ca="1"/>
        <v>72</v>
      </c>
      <c r="U21" s="3">
        <f ca="1"/>
        <v>159</v>
      </c>
      <c r="V21" s="3">
        <f ca="1"/>
        <v>136</v>
      </c>
      <c r="W21" s="3">
        <f ca="1"/>
        <v>8</v>
      </c>
      <c r="X21" s="3">
        <f ca="1"/>
        <v>3</v>
      </c>
      <c r="Y21" s="3">
        <f ca="1"/>
        <v>5</v>
      </c>
      <c r="Z21" s="3">
        <f ca="1"/>
        <v>1</v>
      </c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25"/>
      <c r="AN21" s="143">
        <v>1</v>
      </c>
      <c r="AO21" s="25"/>
      <c r="AP21" s="3"/>
      <c r="AQ21" s="3"/>
      <c r="AR21" s="3"/>
      <c r="AS21" s="3"/>
      <c r="AT21" s="3"/>
      <c r="AU21" s="3"/>
      <c r="AV21" s="3"/>
      <c r="AW21" s="3"/>
    </row>
    <row r="22" spans="2:66" ht="17" customHeight="1" x14ac:dyDescent="0.15">
      <c r="B22" s="3"/>
      <c r="C22" s="3"/>
      <c r="D22" s="28"/>
      <c r="E22" s="29"/>
      <c r="F22" s="29">
        <v>18</v>
      </c>
      <c r="G22" s="3">
        <f ca="1"/>
        <v>1</v>
      </c>
      <c r="H22" s="3">
        <f ca="1"/>
        <v>4</v>
      </c>
      <c r="I22" s="3">
        <f ca="1"/>
        <v>5</v>
      </c>
      <c r="J22" s="3">
        <f ca="1"/>
        <v>5</v>
      </c>
      <c r="K22" s="3">
        <f ca="1"/>
        <v>2</v>
      </c>
      <c r="L22" s="3">
        <f ca="1"/>
        <v>42</v>
      </c>
      <c r="M22" s="3">
        <f ca="1"/>
        <v>154</v>
      </c>
      <c r="N22" s="3">
        <f ca="1"/>
        <v>137</v>
      </c>
      <c r="O22" s="3">
        <f ca="1"/>
        <v>92</v>
      </c>
      <c r="P22" s="3">
        <f ca="1"/>
        <v>94</v>
      </c>
      <c r="Q22" s="3">
        <f ca="1"/>
        <v>95</v>
      </c>
      <c r="R22" s="3">
        <f ca="1"/>
        <v>88</v>
      </c>
      <c r="S22" s="3">
        <f ca="1"/>
        <v>100</v>
      </c>
      <c r="T22" s="3">
        <f ca="1"/>
        <v>156</v>
      </c>
      <c r="U22" s="3">
        <f ca="1"/>
        <v>157</v>
      </c>
      <c r="V22" s="3">
        <f ca="1"/>
        <v>37</v>
      </c>
      <c r="W22" s="3">
        <f ca="1"/>
        <v>1</v>
      </c>
      <c r="X22" s="3">
        <f ca="1"/>
        <v>5</v>
      </c>
      <c r="Y22" s="3">
        <f ca="1"/>
        <v>5</v>
      </c>
      <c r="Z22" s="3">
        <f ca="1"/>
        <v>1</v>
      </c>
      <c r="AA22" s="3"/>
      <c r="AB22" s="25"/>
      <c r="AC22" s="77" t="s">
        <v>100</v>
      </c>
      <c r="AD22" s="25"/>
      <c r="AE22" s="25"/>
      <c r="AF22" s="83"/>
      <c r="AG22" s="77" t="s">
        <v>104</v>
      </c>
      <c r="AH22" s="83"/>
      <c r="AI22" s="25"/>
      <c r="AJ22" s="25"/>
      <c r="AK22" s="25"/>
      <c r="AL22" s="77" t="s">
        <v>101</v>
      </c>
      <c r="AM22" s="25"/>
      <c r="AN22" s="25"/>
      <c r="AO22" s="25"/>
      <c r="AQ22" s="24"/>
      <c r="AR22" s="24"/>
      <c r="AS22" s="76"/>
      <c r="AT22" s="171" t="s">
        <v>115</v>
      </c>
      <c r="AU22" s="24"/>
      <c r="AW22" s="26"/>
      <c r="AX22" s="79" t="s">
        <v>3</v>
      </c>
      <c r="AY22" s="26"/>
      <c r="AZ22" s="26"/>
      <c r="BA22" s="26"/>
      <c r="BB22" s="26"/>
    </row>
    <row r="23" spans="2:66" ht="17" customHeight="1" x14ac:dyDescent="0.2">
      <c r="B23" s="3"/>
      <c r="C23" s="3"/>
      <c r="D23" s="28"/>
      <c r="E23" s="29"/>
      <c r="F23" s="29">
        <v>19</v>
      </c>
      <c r="G23" s="3">
        <f ca="1"/>
        <v>1</v>
      </c>
      <c r="H23" s="3">
        <f ca="1"/>
        <v>4</v>
      </c>
      <c r="I23" s="3">
        <f ca="1"/>
        <v>4</v>
      </c>
      <c r="J23" s="3">
        <f ca="1"/>
        <v>4</v>
      </c>
      <c r="K23" s="3">
        <f ca="1"/>
        <v>4</v>
      </c>
      <c r="L23" s="3">
        <f ca="1"/>
        <v>0</v>
      </c>
      <c r="M23" s="3">
        <f ca="1"/>
        <v>35</v>
      </c>
      <c r="N23" s="3">
        <f ca="1"/>
        <v>124</v>
      </c>
      <c r="O23" s="3">
        <f ca="1"/>
        <v>163</v>
      </c>
      <c r="P23" s="3">
        <f ca="1"/>
        <v>170</v>
      </c>
      <c r="Q23" s="3">
        <f ca="1"/>
        <v>160</v>
      </c>
      <c r="R23" s="3">
        <f ca="1"/>
        <v>172</v>
      </c>
      <c r="S23" s="3">
        <f ca="1"/>
        <v>172</v>
      </c>
      <c r="T23" s="3">
        <f ca="1"/>
        <v>117</v>
      </c>
      <c r="U23" s="3">
        <f ca="1"/>
        <v>31</v>
      </c>
      <c r="V23" s="3">
        <f ca="1"/>
        <v>0</v>
      </c>
      <c r="W23" s="3">
        <f ca="1"/>
        <v>4</v>
      </c>
      <c r="X23" s="3">
        <f ca="1"/>
        <v>4</v>
      </c>
      <c r="Y23" s="3">
        <f ca="1"/>
        <v>4</v>
      </c>
      <c r="Z23" s="3">
        <f ca="1"/>
        <v>1</v>
      </c>
      <c r="AA23" s="3"/>
      <c r="AB23" s="25"/>
      <c r="AC23" s="25" t="s">
        <v>0</v>
      </c>
      <c r="AD23" s="25"/>
      <c r="AE23" s="25"/>
      <c r="AF23" s="25"/>
      <c r="AG23" s="25"/>
      <c r="AH23" s="25"/>
      <c r="AI23" s="25"/>
      <c r="AJ23" s="25"/>
      <c r="AK23" s="25"/>
      <c r="AL23" s="25" t="s">
        <v>1</v>
      </c>
      <c r="AM23" s="25"/>
      <c r="AN23" s="142" t="s">
        <v>86</v>
      </c>
      <c r="AO23" s="25"/>
      <c r="AQ23" s="24"/>
      <c r="AR23" s="24" t="s">
        <v>61</v>
      </c>
      <c r="AS23" s="24"/>
      <c r="AT23" s="24" t="s">
        <v>63</v>
      </c>
      <c r="AU23" s="24"/>
      <c r="AW23" s="26"/>
      <c r="AX23" s="26" t="s">
        <v>92</v>
      </c>
      <c r="AY23" s="26"/>
      <c r="AZ23" s="26" t="s">
        <v>119</v>
      </c>
      <c r="BA23" s="26"/>
      <c r="BB23" s="26"/>
    </row>
    <row r="24" spans="2:66" ht="17" customHeight="1" x14ac:dyDescent="0.2">
      <c r="B24" s="3"/>
      <c r="C24" s="3"/>
      <c r="D24" s="28"/>
      <c r="E24" s="29"/>
      <c r="F24" s="29">
        <v>20</v>
      </c>
      <c r="G24" s="3">
        <f ca="1"/>
        <v>1</v>
      </c>
      <c r="H24" s="3">
        <f ca="1"/>
        <v>4</v>
      </c>
      <c r="I24" s="3">
        <f ca="1"/>
        <v>3</v>
      </c>
      <c r="J24" s="3">
        <f ca="1"/>
        <v>3</v>
      </c>
      <c r="K24" s="3">
        <f ca="1"/>
        <v>3</v>
      </c>
      <c r="L24" s="3">
        <f ca="1"/>
        <v>3</v>
      </c>
      <c r="M24" s="3">
        <f ca="1"/>
        <v>0</v>
      </c>
      <c r="N24" s="3">
        <f ca="1"/>
        <v>7</v>
      </c>
      <c r="O24" s="3">
        <f ca="1"/>
        <v>39</v>
      </c>
      <c r="P24" s="3">
        <f ca="1"/>
        <v>73</v>
      </c>
      <c r="Q24" s="3">
        <f ca="1"/>
        <v>88</v>
      </c>
      <c r="R24" s="3">
        <f ca="1"/>
        <v>77</v>
      </c>
      <c r="S24" s="3">
        <f ca="1"/>
        <v>41</v>
      </c>
      <c r="T24" s="3">
        <f ca="1"/>
        <v>7</v>
      </c>
      <c r="U24" s="3">
        <f ca="1"/>
        <v>0</v>
      </c>
      <c r="V24" s="3">
        <f ca="1"/>
        <v>3</v>
      </c>
      <c r="W24" s="3">
        <f ca="1"/>
        <v>3</v>
      </c>
      <c r="X24" s="3">
        <f ca="1"/>
        <v>3</v>
      </c>
      <c r="Y24" s="3">
        <f ca="1"/>
        <v>4</v>
      </c>
      <c r="Z24" s="3">
        <f ca="1"/>
        <v>1</v>
      </c>
      <c r="AA24" s="3"/>
      <c r="AB24" s="25"/>
      <c r="AC24" s="82">
        <v>1</v>
      </c>
      <c r="AD24" s="82">
        <v>0</v>
      </c>
      <c r="AE24" s="82">
        <v>1</v>
      </c>
      <c r="AF24" s="82">
        <v>1</v>
      </c>
      <c r="AG24" s="82">
        <v>1</v>
      </c>
      <c r="AH24" s="82">
        <v>0</v>
      </c>
      <c r="AI24" s="82">
        <v>1</v>
      </c>
      <c r="AJ24" s="82">
        <v>0</v>
      </c>
      <c r="AK24" s="82">
        <v>1</v>
      </c>
      <c r="AL24" s="82">
        <v>1</v>
      </c>
      <c r="AM24" s="25"/>
      <c r="AN24" s="82" cm="1">
        <f t="array" aca="1" ref="AN24:AN27" ca="1">ROUND(MMULT(AC24:AL27,AN12:AN21),1)</f>
        <v>1.9</v>
      </c>
      <c r="AO24" s="25"/>
      <c r="AQ24" s="24"/>
      <c r="AR24" s="84" cm="1">
        <f t="array" aca="1" ref="AR24:AR27" ca="1">ROUND(EXP(_xlfn.ANCHORARRAY(AN24)),2)</f>
        <v>6.69</v>
      </c>
      <c r="AS24" s="24"/>
      <c r="AT24" s="81" cm="1">
        <f t="array" aca="1" ref="AT24:AT27" ca="1">ROUND(_xlfn.ANCHORARRAY(AR24)/AR30,2)</f>
        <v>0.28999999999999998</v>
      </c>
      <c r="AU24" s="24"/>
      <c r="AW24" s="26"/>
      <c r="AX24" s="20" cm="1">
        <f t="array" ref="AX24:AX27">_xlfn.ANCHORARRAY(E10)</f>
        <v>0</v>
      </c>
      <c r="AY24" s="26"/>
      <c r="AZ24" s="86" cm="1">
        <f t="array" aca="1" ref="AZ24:AZ27" ca="1">ABS(_xlfn.ANCHORARRAY(AX24)-_xlfn.ANCHORARRAY(AT24))</f>
        <v>0.28999999999999998</v>
      </c>
      <c r="BA24" s="26"/>
      <c r="BB24" s="26"/>
    </row>
    <row r="25" spans="2:66" ht="17" customHeight="1" x14ac:dyDescent="0.2">
      <c r="B25" s="3"/>
      <c r="C25" s="3"/>
      <c r="D25" s="28"/>
      <c r="E25" s="29"/>
      <c r="F25" s="29">
        <v>21</v>
      </c>
      <c r="G25" s="3">
        <f ca="1"/>
        <v>1</v>
      </c>
      <c r="H25" s="3">
        <f ca="1"/>
        <v>4</v>
      </c>
      <c r="I25" s="3">
        <f ca="1"/>
        <v>4</v>
      </c>
      <c r="J25" s="3">
        <f ca="1"/>
        <v>3</v>
      </c>
      <c r="K25" s="3">
        <f ca="1"/>
        <v>3</v>
      </c>
      <c r="L25" s="3">
        <f ca="1"/>
        <v>3</v>
      </c>
      <c r="M25" s="3">
        <f ca="1"/>
        <v>3</v>
      </c>
      <c r="N25" s="3">
        <f ca="1"/>
        <v>2</v>
      </c>
      <c r="O25" s="3">
        <f ca="1"/>
        <v>0</v>
      </c>
      <c r="P25" s="3">
        <f ca="1"/>
        <v>0</v>
      </c>
      <c r="Q25" s="3">
        <f ca="1"/>
        <v>0</v>
      </c>
      <c r="R25" s="3">
        <f ca="1"/>
        <v>0</v>
      </c>
      <c r="S25" s="3">
        <f ca="1"/>
        <v>0</v>
      </c>
      <c r="T25" s="3">
        <f ca="1"/>
        <v>2</v>
      </c>
      <c r="U25" s="3">
        <f ca="1"/>
        <v>3</v>
      </c>
      <c r="V25" s="3">
        <f ca="1"/>
        <v>3</v>
      </c>
      <c r="W25" s="3">
        <f ca="1"/>
        <v>3</v>
      </c>
      <c r="X25" s="3">
        <f ca="1"/>
        <v>3</v>
      </c>
      <c r="Y25" s="3">
        <f ca="1"/>
        <v>3</v>
      </c>
      <c r="Z25" s="3">
        <f ca="1"/>
        <v>1</v>
      </c>
      <c r="AA25" s="3"/>
      <c r="AB25" s="25"/>
      <c r="AC25" s="82">
        <v>1</v>
      </c>
      <c r="AD25" s="82">
        <v>1</v>
      </c>
      <c r="AE25" s="82">
        <v>0</v>
      </c>
      <c r="AF25" s="82">
        <v>0</v>
      </c>
      <c r="AG25" s="82">
        <v>0</v>
      </c>
      <c r="AH25" s="82">
        <v>0</v>
      </c>
      <c r="AI25" s="82">
        <v>1</v>
      </c>
      <c r="AJ25" s="82">
        <v>0</v>
      </c>
      <c r="AK25" s="82">
        <v>1</v>
      </c>
      <c r="AL25" s="82">
        <v>1</v>
      </c>
      <c r="AM25" s="25"/>
      <c r="AN25" s="82">
        <f ca="1"/>
        <v>1.5</v>
      </c>
      <c r="AO25" s="150" t="s">
        <v>103</v>
      </c>
      <c r="AQ25" s="24"/>
      <c r="AR25" s="84">
        <f ca="1"/>
        <v>4.4800000000000004</v>
      </c>
      <c r="AS25" s="24"/>
      <c r="AT25" s="81">
        <f ca="1"/>
        <v>0.19</v>
      </c>
      <c r="AU25" s="24"/>
      <c r="AW25" s="26"/>
      <c r="AX25" s="20">
        <v>1</v>
      </c>
      <c r="AY25" s="26"/>
      <c r="AZ25" s="86">
        <f ca="1"/>
        <v>0.81</v>
      </c>
      <c r="BA25" s="26"/>
      <c r="BB25" s="26"/>
    </row>
    <row r="26" spans="2:66" ht="17" customHeight="1" x14ac:dyDescent="0.2">
      <c r="B26" s="3"/>
      <c r="C26" s="3"/>
      <c r="D26" s="28"/>
      <c r="E26" s="29"/>
      <c r="F26" s="29">
        <v>22</v>
      </c>
      <c r="G26" s="3">
        <f ca="1"/>
        <v>0</v>
      </c>
      <c r="H26" s="3">
        <f ca="1"/>
        <v>4</v>
      </c>
      <c r="I26" s="3">
        <f ca="1"/>
        <v>4</v>
      </c>
      <c r="J26" s="3">
        <f ca="1"/>
        <v>3</v>
      </c>
      <c r="K26" s="3">
        <f ca="1"/>
        <v>3</v>
      </c>
      <c r="L26" s="3">
        <f ca="1"/>
        <v>3</v>
      </c>
      <c r="M26" s="3">
        <f ca="1"/>
        <v>3</v>
      </c>
      <c r="N26" s="3">
        <f ca="1"/>
        <v>3</v>
      </c>
      <c r="O26" s="3">
        <f ca="1"/>
        <v>3</v>
      </c>
      <c r="P26" s="3">
        <f ca="1"/>
        <v>3</v>
      </c>
      <c r="Q26" s="3">
        <f ca="1"/>
        <v>3</v>
      </c>
      <c r="R26" s="3">
        <f ca="1"/>
        <v>3</v>
      </c>
      <c r="S26" s="3">
        <f ca="1"/>
        <v>3</v>
      </c>
      <c r="T26" s="3">
        <f ca="1"/>
        <v>3</v>
      </c>
      <c r="U26" s="3">
        <f ca="1"/>
        <v>3</v>
      </c>
      <c r="V26" s="3">
        <f ca="1"/>
        <v>4</v>
      </c>
      <c r="W26" s="3">
        <f ca="1"/>
        <v>3</v>
      </c>
      <c r="X26" s="3">
        <f ca="1"/>
        <v>4</v>
      </c>
      <c r="Y26" s="3">
        <f ca="1"/>
        <v>4</v>
      </c>
      <c r="Z26" s="3">
        <f ca="1"/>
        <v>1</v>
      </c>
      <c r="AA26" s="3"/>
      <c r="AB26" s="25"/>
      <c r="AC26" s="82">
        <v>1</v>
      </c>
      <c r="AD26" s="82">
        <v>1</v>
      </c>
      <c r="AE26" s="82">
        <v>1</v>
      </c>
      <c r="AF26" s="82">
        <v>0</v>
      </c>
      <c r="AG26" s="82">
        <v>0</v>
      </c>
      <c r="AH26" s="82">
        <v>1</v>
      </c>
      <c r="AI26" s="82">
        <v>1</v>
      </c>
      <c r="AJ26" s="82">
        <v>0</v>
      </c>
      <c r="AK26" s="82">
        <v>1</v>
      </c>
      <c r="AL26" s="82">
        <v>1</v>
      </c>
      <c r="AM26" s="25"/>
      <c r="AN26" s="82">
        <f ca="1"/>
        <v>2.1</v>
      </c>
      <c r="AO26" s="25"/>
      <c r="AQ26" s="24"/>
      <c r="AR26" s="84">
        <f ca="1"/>
        <v>8.17</v>
      </c>
      <c r="AS26" s="24"/>
      <c r="AT26" s="81">
        <f ca="1"/>
        <v>0.36</v>
      </c>
      <c r="AU26" s="24"/>
      <c r="AW26" s="26"/>
      <c r="AX26" s="20">
        <v>0</v>
      </c>
      <c r="AY26" s="26"/>
      <c r="AZ26" s="86">
        <f ca="1"/>
        <v>0.36</v>
      </c>
      <c r="BA26" s="26"/>
      <c r="BB26" s="26"/>
    </row>
    <row r="27" spans="2:66" ht="17" customHeight="1" x14ac:dyDescent="0.2">
      <c r="B27" s="3"/>
      <c r="C27" s="3"/>
      <c r="D27" s="28"/>
      <c r="E27" s="29"/>
      <c r="F27" s="29">
        <v>23</v>
      </c>
      <c r="G27" s="3">
        <f ca="1"/>
        <v>0</v>
      </c>
      <c r="H27" s="3">
        <f ca="1"/>
        <v>3</v>
      </c>
      <c r="I27" s="3">
        <f ca="1"/>
        <v>4</v>
      </c>
      <c r="J27" s="3">
        <f ca="1"/>
        <v>4</v>
      </c>
      <c r="K27" s="3">
        <f ca="1"/>
        <v>4</v>
      </c>
      <c r="L27" s="3">
        <f ca="1"/>
        <v>3</v>
      </c>
      <c r="M27" s="3">
        <f ca="1"/>
        <v>3</v>
      </c>
      <c r="N27" s="3">
        <f ca="1"/>
        <v>3</v>
      </c>
      <c r="O27" s="3">
        <f ca="1"/>
        <v>3</v>
      </c>
      <c r="P27" s="3">
        <f ca="1"/>
        <v>3</v>
      </c>
      <c r="Q27" s="3">
        <f ca="1"/>
        <v>3</v>
      </c>
      <c r="R27" s="3">
        <f ca="1"/>
        <v>3</v>
      </c>
      <c r="S27" s="3">
        <f ca="1"/>
        <v>4</v>
      </c>
      <c r="T27" s="3">
        <f ca="1"/>
        <v>3</v>
      </c>
      <c r="U27" s="3">
        <f ca="1"/>
        <v>3</v>
      </c>
      <c r="V27" s="3">
        <f ca="1"/>
        <v>4</v>
      </c>
      <c r="W27" s="3">
        <f ca="1"/>
        <v>4</v>
      </c>
      <c r="X27" s="3">
        <f ca="1"/>
        <v>4</v>
      </c>
      <c r="Y27" s="3">
        <f ca="1"/>
        <v>3</v>
      </c>
      <c r="Z27" s="3">
        <f ca="1"/>
        <v>0</v>
      </c>
      <c r="AA27" s="3"/>
      <c r="AB27" s="25"/>
      <c r="AC27" s="82">
        <v>1</v>
      </c>
      <c r="AD27" s="82">
        <v>1</v>
      </c>
      <c r="AE27" s="82">
        <v>0</v>
      </c>
      <c r="AF27" s="82">
        <v>1</v>
      </c>
      <c r="AG27" s="82">
        <v>1</v>
      </c>
      <c r="AH27" s="82">
        <v>1</v>
      </c>
      <c r="AI27" s="82">
        <v>1</v>
      </c>
      <c r="AJ27" s="82">
        <v>1</v>
      </c>
      <c r="AK27" s="82">
        <v>0</v>
      </c>
      <c r="AL27" s="82">
        <v>0</v>
      </c>
      <c r="AM27" s="25"/>
      <c r="AN27" s="82">
        <f ca="1"/>
        <v>1.3</v>
      </c>
      <c r="AO27" s="25"/>
      <c r="AQ27" s="24"/>
      <c r="AR27" s="84">
        <f ca="1"/>
        <v>3.67</v>
      </c>
      <c r="AS27" s="24"/>
      <c r="AT27" s="81">
        <f ca="1"/>
        <v>0.16</v>
      </c>
      <c r="AU27" s="24"/>
      <c r="AW27" s="26"/>
      <c r="AX27" s="20">
        <v>0</v>
      </c>
      <c r="AY27" s="26"/>
      <c r="AZ27" s="86">
        <f ca="1"/>
        <v>0.16</v>
      </c>
      <c r="BA27" s="26"/>
      <c r="BB27" s="26"/>
    </row>
    <row r="28" spans="2:66" ht="17" customHeight="1" x14ac:dyDescent="0.15">
      <c r="B28" s="3"/>
      <c r="C28" s="3"/>
      <c r="D28" s="28"/>
      <c r="E28" s="29"/>
      <c r="F28" s="29">
        <v>24</v>
      </c>
      <c r="G28" s="3">
        <f ca="1"/>
        <v>0</v>
      </c>
      <c r="H28" s="3">
        <f ca="1"/>
        <v>1</v>
      </c>
      <c r="I28" s="3">
        <f ca="1"/>
        <v>1</v>
      </c>
      <c r="J28" s="3">
        <f ca="1"/>
        <v>1</v>
      </c>
      <c r="K28" s="3">
        <f ca="1"/>
        <v>2</v>
      </c>
      <c r="L28" s="3">
        <f ca="1"/>
        <v>2</v>
      </c>
      <c r="M28" s="3">
        <f ca="1"/>
        <v>2</v>
      </c>
      <c r="N28" s="3">
        <f ca="1"/>
        <v>2</v>
      </c>
      <c r="O28" s="3">
        <f ca="1"/>
        <v>2</v>
      </c>
      <c r="P28" s="3">
        <f ca="1"/>
        <v>2</v>
      </c>
      <c r="Q28" s="3">
        <f ca="1"/>
        <v>2</v>
      </c>
      <c r="R28" s="3">
        <f ca="1"/>
        <v>2</v>
      </c>
      <c r="S28" s="3">
        <f ca="1"/>
        <v>2</v>
      </c>
      <c r="T28" s="3">
        <f ca="1"/>
        <v>2</v>
      </c>
      <c r="U28" s="3">
        <f ca="1"/>
        <v>2</v>
      </c>
      <c r="V28" s="3">
        <f ca="1"/>
        <v>2</v>
      </c>
      <c r="W28" s="3">
        <f ca="1"/>
        <v>2</v>
      </c>
      <c r="X28" s="3">
        <f ca="1"/>
        <v>1</v>
      </c>
      <c r="Y28" s="3">
        <f ca="1"/>
        <v>1</v>
      </c>
      <c r="Z28" s="3">
        <f ca="1"/>
        <v>0</v>
      </c>
      <c r="AA28" s="3"/>
      <c r="AB28" s="25"/>
      <c r="AC28" s="25"/>
      <c r="AD28" s="83"/>
      <c r="AE28" s="25"/>
      <c r="AF28" s="25"/>
      <c r="AG28" s="25"/>
      <c r="AH28" s="25"/>
      <c r="AI28" s="25"/>
      <c r="AJ28" s="83"/>
      <c r="AK28" s="83"/>
      <c r="AL28" s="83"/>
      <c r="AM28" s="83"/>
      <c r="AN28" s="175" t="s">
        <v>2</v>
      </c>
      <c r="AO28" s="25"/>
      <c r="AQ28" s="24"/>
      <c r="AR28" s="24"/>
      <c r="AS28" s="24"/>
      <c r="AT28" s="78"/>
      <c r="AU28" s="24"/>
      <c r="AW28" s="26"/>
      <c r="AX28" s="26"/>
      <c r="AY28" s="26"/>
      <c r="AZ28" s="26"/>
      <c r="BA28" s="26"/>
      <c r="BB28" s="26"/>
    </row>
    <row r="29" spans="2:66" ht="17" customHeight="1" x14ac:dyDescent="0.2">
      <c r="B29" s="3"/>
      <c r="C29" s="3"/>
      <c r="D29" s="28"/>
      <c r="E29" s="29"/>
      <c r="F29" s="29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Q29" s="24"/>
      <c r="AR29" s="24" t="s">
        <v>62</v>
      </c>
      <c r="AS29" s="24"/>
      <c r="AT29" s="78"/>
      <c r="AU29" s="24"/>
      <c r="AW29" s="26"/>
      <c r="AX29" s="26"/>
      <c r="AY29" s="26"/>
      <c r="AZ29" s="80" t="s">
        <v>67</v>
      </c>
      <c r="BA29" s="26"/>
      <c r="BB29" s="26"/>
    </row>
    <row r="30" spans="2:66" ht="17" customHeight="1" x14ac:dyDescent="0.2">
      <c r="B30" s="3"/>
      <c r="C30" s="3"/>
      <c r="D30" s="28"/>
      <c r="E30" s="29"/>
      <c r="F30" s="29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Q30" s="24"/>
      <c r="AR30" s="85">
        <f ca="1">ROUND(SUM(_xlfn.ANCHORARRAY(AR24)),2)</f>
        <v>23.01</v>
      </c>
      <c r="AS30" s="24"/>
      <c r="AT30" s="78"/>
      <c r="AU30" s="24"/>
      <c r="AW30" s="26"/>
      <c r="AX30" s="26"/>
      <c r="AY30" s="26"/>
      <c r="AZ30" s="85">
        <f ca="1">SUM(_xlfn.ANCHORARRAY(AZ24))</f>
        <v>1.6199999999999999</v>
      </c>
      <c r="BA30" s="176" t="s">
        <v>121</v>
      </c>
      <c r="BB30" s="177" t="s">
        <v>123</v>
      </c>
    </row>
    <row r="31" spans="2:66" ht="17" customHeight="1" x14ac:dyDescent="0.2">
      <c r="AQ31" s="24"/>
      <c r="AR31" s="24"/>
      <c r="AS31" s="24"/>
      <c r="AT31" s="24"/>
      <c r="AU31" s="24"/>
      <c r="AW31" s="26"/>
      <c r="AX31" s="26"/>
      <c r="AY31" s="26"/>
      <c r="AZ31" s="172" t="s">
        <v>5</v>
      </c>
      <c r="BA31" s="176" t="s">
        <v>122</v>
      </c>
      <c r="BB31" s="177" t="s">
        <v>124</v>
      </c>
    </row>
    <row r="37" spans="29:39" ht="17" customHeight="1" x14ac:dyDescent="0.2">
      <c r="AC37" s="100"/>
      <c r="AD37" s="19"/>
      <c r="AE37" s="19"/>
      <c r="AF37" s="19"/>
      <c r="AG37" s="19"/>
      <c r="AH37" s="19"/>
      <c r="AI37" s="19"/>
      <c r="AJ37" s="19"/>
      <c r="AK37" s="19"/>
      <c r="AL37" s="19"/>
      <c r="AM37" s="91"/>
    </row>
    <row r="38" spans="29:39" ht="17" customHeight="1" x14ac:dyDescent="0.2">
      <c r="AC38" s="168"/>
      <c r="AD38" s="163"/>
      <c r="AE38" s="163" t="s">
        <v>117</v>
      </c>
      <c r="AF38" s="163"/>
      <c r="AG38" s="163"/>
      <c r="AH38" s="163"/>
      <c r="AI38" s="163"/>
      <c r="AJ38" s="163"/>
      <c r="AK38" s="163" t="s">
        <v>118</v>
      </c>
      <c r="AL38" s="52"/>
      <c r="AM38" s="93"/>
    </row>
    <row r="39" spans="29:39" ht="17" customHeight="1" x14ac:dyDescent="0.2">
      <c r="AC39" s="168"/>
      <c r="AM39" s="93"/>
    </row>
    <row r="40" spans="29:39" ht="17" customHeight="1" x14ac:dyDescent="0.2">
      <c r="AC40" s="168"/>
      <c r="AD40" s="170"/>
      <c r="AE40" s="170" t="s">
        <v>65</v>
      </c>
      <c r="AF40" s="170"/>
      <c r="AJ40" s="170"/>
      <c r="AK40" s="170" t="s">
        <v>65</v>
      </c>
      <c r="AL40" s="170"/>
      <c r="AM40" s="93"/>
    </row>
    <row r="41" spans="29:39" ht="17" customHeight="1" x14ac:dyDescent="0.2">
      <c r="AC41" s="168"/>
      <c r="AE41" s="2" t="s">
        <v>114</v>
      </c>
      <c r="AK41" s="2" t="s">
        <v>114</v>
      </c>
      <c r="AM41" s="93"/>
    </row>
    <row r="42" spans="29:39" ht="17" customHeight="1" x14ac:dyDescent="0.15">
      <c r="AC42" s="168"/>
      <c r="AD42" s="83"/>
      <c r="AE42" s="25" t="s">
        <v>2</v>
      </c>
      <c r="AF42" s="83"/>
      <c r="AJ42" s="83"/>
      <c r="AK42" s="25" t="s">
        <v>2</v>
      </c>
      <c r="AL42" s="83"/>
      <c r="AM42" s="93"/>
    </row>
    <row r="43" spans="29:39" ht="17" customHeight="1" x14ac:dyDescent="0.2">
      <c r="AC43" s="168"/>
      <c r="AE43" s="2" t="s">
        <v>114</v>
      </c>
      <c r="AK43" s="2" t="s">
        <v>114</v>
      </c>
      <c r="AM43" s="93"/>
    </row>
    <row r="44" spans="29:39" ht="17" customHeight="1" x14ac:dyDescent="0.2">
      <c r="AC44" s="168"/>
      <c r="AD44" s="24"/>
      <c r="AE44" s="24" t="s">
        <v>115</v>
      </c>
      <c r="AF44" s="24"/>
      <c r="AJ44" s="24"/>
      <c r="AK44" s="24" t="s">
        <v>115</v>
      </c>
      <c r="AL44" s="24"/>
      <c r="AM44" s="93"/>
    </row>
    <row r="45" spans="29:39" ht="17" customHeight="1" x14ac:dyDescent="0.2">
      <c r="AC45" s="168"/>
      <c r="AE45" s="2" t="s">
        <v>114</v>
      </c>
      <c r="AK45" s="2" t="s">
        <v>114</v>
      </c>
      <c r="AM45" s="93"/>
    </row>
    <row r="46" spans="29:39" ht="17" customHeight="1" x14ac:dyDescent="0.15">
      <c r="AC46" s="168"/>
      <c r="AD46" s="26"/>
      <c r="AE46" s="26" t="s">
        <v>5</v>
      </c>
      <c r="AF46" s="26"/>
      <c r="AJ46" s="83"/>
      <c r="AK46" s="25" t="s">
        <v>2</v>
      </c>
      <c r="AL46" s="83"/>
      <c r="AM46" s="93"/>
    </row>
    <row r="47" spans="29:39" ht="17" customHeight="1" x14ac:dyDescent="0.2">
      <c r="AC47" s="168"/>
      <c r="AK47" s="2" t="s">
        <v>114</v>
      </c>
      <c r="AM47" s="93"/>
    </row>
    <row r="48" spans="29:39" ht="17" customHeight="1" x14ac:dyDescent="0.2">
      <c r="AC48" s="168"/>
      <c r="AJ48" s="24"/>
      <c r="AK48" s="24" t="s">
        <v>115</v>
      </c>
      <c r="AL48" s="24"/>
      <c r="AM48" s="93"/>
    </row>
    <row r="49" spans="29:39" ht="17" customHeight="1" x14ac:dyDescent="0.2">
      <c r="AC49" s="168"/>
      <c r="AK49" s="2" t="s">
        <v>114</v>
      </c>
      <c r="AM49" s="93"/>
    </row>
    <row r="50" spans="29:39" ht="17" customHeight="1" x14ac:dyDescent="0.2">
      <c r="AC50" s="168"/>
      <c r="AK50" s="2" t="s">
        <v>116</v>
      </c>
      <c r="AM50" s="93"/>
    </row>
    <row r="51" spans="29:39" ht="17" customHeight="1" x14ac:dyDescent="0.2">
      <c r="AC51" s="168"/>
      <c r="AK51" s="2" t="s">
        <v>114</v>
      </c>
      <c r="AM51" s="93"/>
    </row>
    <row r="52" spans="29:39" ht="17" customHeight="1" x14ac:dyDescent="0.15">
      <c r="AC52" s="168"/>
      <c r="AJ52" s="83"/>
      <c r="AK52" s="25" t="s">
        <v>2</v>
      </c>
      <c r="AL52" s="83"/>
      <c r="AM52" s="93"/>
    </row>
    <row r="53" spans="29:39" ht="17" customHeight="1" x14ac:dyDescent="0.2">
      <c r="AC53" s="168"/>
      <c r="AK53" s="2" t="s">
        <v>114</v>
      </c>
      <c r="AM53" s="93"/>
    </row>
    <row r="54" spans="29:39" ht="17" customHeight="1" x14ac:dyDescent="0.2">
      <c r="AC54" s="168"/>
      <c r="AJ54" s="24"/>
      <c r="AK54" s="24" t="s">
        <v>115</v>
      </c>
      <c r="AL54" s="24"/>
      <c r="AM54" s="93"/>
    </row>
    <row r="55" spans="29:39" ht="17" customHeight="1" x14ac:dyDescent="0.2">
      <c r="AC55" s="168"/>
      <c r="AK55" s="2" t="s">
        <v>114</v>
      </c>
      <c r="AM55" s="93"/>
    </row>
    <row r="56" spans="29:39" ht="17" customHeight="1" x14ac:dyDescent="0.2">
      <c r="AC56" s="168"/>
      <c r="AJ56" s="26"/>
      <c r="AK56" s="26" t="s">
        <v>5</v>
      </c>
      <c r="AL56" s="26"/>
      <c r="AM56" s="93"/>
    </row>
    <row r="57" spans="29:39" ht="17" customHeight="1" x14ac:dyDescent="0.2">
      <c r="AC57" s="95"/>
      <c r="AD57" s="15"/>
      <c r="AE57" s="15"/>
      <c r="AF57" s="15"/>
      <c r="AG57" s="15"/>
      <c r="AH57" s="15"/>
      <c r="AI57" s="15"/>
      <c r="AJ57" s="15"/>
      <c r="AK57" s="15"/>
      <c r="AL57" s="15"/>
      <c r="AM57" s="96"/>
    </row>
  </sheetData>
  <dataConsolidate/>
  <conditionalFormatting sqref="E10:E13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{781E8E82-2279-A74A-947D-D6993F669016}</x14:id>
        </ext>
      </extLst>
    </cfRule>
  </conditionalFormatting>
  <conditionalFormatting sqref="AC24:AK27">
    <cfRule type="colorScale" priority="8">
      <colorScale>
        <cfvo type="num" val="-1"/>
        <cfvo type="num" val="1"/>
        <color rgb="FFFF7128"/>
        <color rgb="FFFFEF9C"/>
      </colorScale>
    </cfRule>
  </conditionalFormatting>
  <conditionalFormatting sqref="AH6:AJ8 G5:AA28 G30:AA1048576">
    <cfRule type="colorScale" priority="10">
      <colorScale>
        <cfvo type="num" val="0"/>
        <cfvo type="num" val="255"/>
        <color theme="1" tint="0.249977111117893"/>
        <color theme="0"/>
      </colorScale>
    </cfRule>
  </conditionalFormatting>
  <conditionalFormatting sqref="AL24:AL27">
    <cfRule type="colorScale" priority="3">
      <colorScale>
        <cfvo type="num" val="-1"/>
        <cfvo type="num" val="1"/>
        <color theme="3" tint="0.499984740745262"/>
        <color theme="3" tint="0.89999084444715716"/>
      </colorScale>
    </cfRule>
  </conditionalFormatting>
  <conditionalFormatting sqref="AM6:AO8 AN12:AO15 AN21 AO21:AO24 AN17:AO20 AN16 AO26:AO28">
    <cfRule type="colorScale" priority="9">
      <colorScale>
        <cfvo type="num" val="-1"/>
        <cfvo type="num" val="1"/>
        <color theme="1" tint="0.249977111117893"/>
        <color theme="0"/>
      </colorScale>
    </cfRule>
  </conditionalFormatting>
  <conditionalFormatting sqref="AN24:AN27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R24:AR27">
    <cfRule type="colorScale" priority="4">
      <colorScale>
        <cfvo type="num" val="-1"/>
        <cfvo type="num" val="1"/>
        <color rgb="FFFF7128"/>
        <color rgb="FFFFEF9C"/>
      </colorScale>
    </cfRule>
  </conditionalFormatting>
  <conditionalFormatting sqref="AT24:AT27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{F07E4933-564C-E841-9365-6720E5AAAAF0}</x14:id>
        </ext>
      </extLst>
    </cfRule>
  </conditionalFormatting>
  <conditionalFormatting sqref="AX24:AX27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{4FECAF89-0E20-5E48-BBDE-595FFF3C91F2}</x14:id>
        </ext>
      </extLst>
    </cfRule>
  </conditionalFormatting>
  <conditionalFormatting sqref="AZ24:AZ27">
    <cfRule type="colorScale" priority="2">
      <colorScale>
        <cfvo type="min"/>
        <cfvo type="max"/>
        <color rgb="FFF8696B"/>
        <color rgb="FFFCFCFF"/>
      </colorScale>
    </cfRule>
  </conditionalFormatting>
  <dataValidations count="3">
    <dataValidation type="list" allowBlank="1" showInputMessage="1" showErrorMessage="1" sqref="M34" xr:uid="{633D065E-36D8-B449-AEC6-C3FDC28293EC}">
      <formula1>$I$34:$I$35</formula1>
    </dataValidation>
    <dataValidation type="list" allowBlank="1" showInputMessage="1" showErrorMessage="1" sqref="E6" xr:uid="{79393444-BB46-1A4B-BBF5-B9B7C828A89B}">
      <formula1>Classes</formula1>
    </dataValidation>
    <dataValidation type="list" allowBlank="1" showInputMessage="1" showErrorMessage="1" sqref="E7" xr:uid="{EF51DFDD-E8AE-764A-8480-0A9BCE23D972}">
      <formula1>Samples</formula1>
    </dataValidation>
  </dataValidations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81E8E82-2279-A74A-947D-D6993F66901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E10:E13</xm:sqref>
        </x14:conditionalFormatting>
        <x14:conditionalFormatting xmlns:xm="http://schemas.microsoft.com/office/excel/2006/main">
          <x14:cfRule type="dataBar" id="{F07E4933-564C-E841-9365-6720E5AAAAF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AT24:AT27</xm:sqref>
        </x14:conditionalFormatting>
        <x14:conditionalFormatting xmlns:xm="http://schemas.microsoft.com/office/excel/2006/main">
          <x14:cfRule type="dataBar" id="{4FECAF89-0E20-5E48-BBDE-595FFF3C91F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AX24:AX27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414DBB-389A-614D-A1B6-295DBDB49529}">
  <sheetPr>
    <tabColor rgb="FFFFFF00"/>
  </sheetPr>
  <dimension ref="A2:BE40"/>
  <sheetViews>
    <sheetView showGridLines="0" showRowColHeaders="0" topLeftCell="V7" zoomScale="136" zoomScaleNormal="100" workbookViewId="0">
      <selection activeCell="BI30" sqref="BI30"/>
    </sheetView>
  </sheetViews>
  <sheetFormatPr baseColWidth="10" defaultColWidth="4.1640625" defaultRowHeight="17" customHeight="1" x14ac:dyDescent="0.2"/>
  <cols>
    <col min="1" max="3" width="4.1640625" style="2"/>
    <col min="4" max="4" width="4.1640625" style="16"/>
    <col min="5" max="6" width="4.1640625" style="4"/>
    <col min="7" max="10" width="4.1640625" style="2"/>
    <col min="11" max="26" width="4.33203125" style="2" bestFit="1" customWidth="1"/>
    <col min="27" max="27" width="4.1640625" style="2"/>
    <col min="28" max="41" width="4.33203125" style="2" bestFit="1" customWidth="1"/>
    <col min="42" max="42" width="4.1640625" style="2"/>
    <col min="43" max="43" width="4.33203125" style="2" bestFit="1" customWidth="1"/>
    <col min="44" max="44" width="4.1640625" style="2"/>
    <col min="45" max="45" width="4.33203125" style="2" bestFit="1" customWidth="1"/>
    <col min="46" max="46" width="4.1640625" style="2"/>
    <col min="47" max="47" width="4.33203125" style="2" bestFit="1" customWidth="1"/>
    <col min="48" max="48" width="4.1640625" style="2"/>
    <col min="49" max="49" width="4.6640625" style="2" bestFit="1" customWidth="1"/>
    <col min="50" max="16384" width="4.1640625" style="2"/>
  </cols>
  <sheetData>
    <row r="2" spans="1:57" s="133" customFormat="1" ht="17" customHeight="1" x14ac:dyDescent="0.2">
      <c r="A2" s="149"/>
      <c r="B2" s="132" t="s">
        <v>29</v>
      </c>
      <c r="C2" s="132" t="s">
        <v>23</v>
      </c>
      <c r="D2" s="132" t="s">
        <v>51</v>
      </c>
      <c r="E2" s="134"/>
      <c r="F2" s="134"/>
      <c r="G2" s="134"/>
      <c r="H2" s="134"/>
      <c r="I2" s="134"/>
      <c r="J2" s="134"/>
      <c r="K2" s="134"/>
    </row>
    <row r="4" spans="1:57" ht="17" customHeight="1" x14ac:dyDescent="0.2">
      <c r="B4" s="4"/>
      <c r="C4" s="4"/>
      <c r="G4" s="2">
        <v>1</v>
      </c>
      <c r="H4" s="2">
        <v>2</v>
      </c>
      <c r="I4" s="2">
        <v>3</v>
      </c>
      <c r="J4" s="2">
        <v>4</v>
      </c>
      <c r="K4" s="2">
        <v>5</v>
      </c>
      <c r="L4" s="2">
        <v>6</v>
      </c>
      <c r="M4" s="2">
        <v>7</v>
      </c>
      <c r="N4" s="2">
        <v>8</v>
      </c>
      <c r="O4" s="2">
        <v>9</v>
      </c>
      <c r="P4" s="2">
        <v>10</v>
      </c>
      <c r="Q4" s="2">
        <v>11</v>
      </c>
      <c r="R4" s="2">
        <v>12</v>
      </c>
      <c r="S4" s="2">
        <v>13</v>
      </c>
      <c r="T4" s="2">
        <v>14</v>
      </c>
      <c r="U4" s="2">
        <v>15</v>
      </c>
      <c r="V4" s="2">
        <v>16</v>
      </c>
      <c r="W4" s="2">
        <v>17</v>
      </c>
      <c r="X4" s="2">
        <v>18</v>
      </c>
      <c r="Y4" s="2">
        <v>19</v>
      </c>
      <c r="Z4" s="2">
        <v>20</v>
      </c>
      <c r="AT4" s="100"/>
      <c r="AU4" s="19"/>
      <c r="AV4" s="19"/>
      <c r="AW4" s="19"/>
      <c r="AX4" s="19"/>
      <c r="AY4" s="19"/>
      <c r="AZ4" s="19"/>
      <c r="BA4" s="19"/>
      <c r="BB4" s="19"/>
      <c r="BC4" s="19"/>
      <c r="BD4" s="19"/>
      <c r="BE4" s="91"/>
    </row>
    <row r="5" spans="1:57" ht="17" customHeight="1" x14ac:dyDescent="0.2">
      <c r="F5" s="4">
        <v>1</v>
      </c>
      <c r="G5" s="2" cm="1">
        <f t="array" aca="1" ref="G5:Z28" ca="1">OFFSET('Dataset-Tumor'!D5, 24*(E6-1), 20*(E7-1), 24, 20)</f>
        <v>15</v>
      </c>
      <c r="H5" s="2">
        <f ca="1"/>
        <v>15</v>
      </c>
      <c r="I5" s="2">
        <f ca="1"/>
        <v>15</v>
      </c>
      <c r="J5" s="2">
        <f ca="1"/>
        <v>15</v>
      </c>
      <c r="K5" s="2">
        <f ca="1"/>
        <v>15</v>
      </c>
      <c r="L5" s="2">
        <f ca="1"/>
        <v>13</v>
      </c>
      <c r="M5" s="2">
        <f ca="1"/>
        <v>9</v>
      </c>
      <c r="N5" s="2">
        <f ca="1"/>
        <v>10</v>
      </c>
      <c r="O5" s="2">
        <f ca="1"/>
        <v>24</v>
      </c>
      <c r="P5" s="2">
        <f ca="1"/>
        <v>37</v>
      </c>
      <c r="Q5" s="2">
        <f ca="1"/>
        <v>40</v>
      </c>
      <c r="R5" s="2">
        <f ca="1"/>
        <v>28</v>
      </c>
      <c r="S5" s="2">
        <f ca="1"/>
        <v>12</v>
      </c>
      <c r="T5" s="2">
        <f ca="1"/>
        <v>9</v>
      </c>
      <c r="U5" s="2">
        <f ca="1"/>
        <v>13</v>
      </c>
      <c r="V5" s="2">
        <f ca="1"/>
        <v>15</v>
      </c>
      <c r="W5" s="2">
        <f ca="1"/>
        <v>15</v>
      </c>
      <c r="X5" s="2">
        <f ca="1"/>
        <v>15</v>
      </c>
      <c r="Y5" s="2">
        <f ca="1"/>
        <v>15</v>
      </c>
      <c r="Z5" s="2">
        <f ca="1"/>
        <v>15</v>
      </c>
      <c r="AB5" s="135" t="s">
        <v>83</v>
      </c>
      <c r="AC5" s="17"/>
      <c r="AT5" s="92"/>
      <c r="AU5" s="90" t="s">
        <v>65</v>
      </c>
      <c r="AV5" s="90"/>
      <c r="AW5" s="90"/>
      <c r="AX5" s="90"/>
      <c r="AY5" s="90"/>
      <c r="AZ5" s="90"/>
      <c r="BA5" s="90"/>
      <c r="BB5" s="90"/>
      <c r="BC5" s="90"/>
      <c r="BD5" s="90"/>
      <c r="BE5" s="93"/>
    </row>
    <row r="6" spans="1:57" ht="17" customHeight="1" x14ac:dyDescent="0.2">
      <c r="D6" s="16" t="s">
        <v>25</v>
      </c>
      <c r="E6" s="49">
        <v>4</v>
      </c>
      <c r="F6" s="4">
        <v>2</v>
      </c>
      <c r="G6" s="2">
        <f ca="1"/>
        <v>15</v>
      </c>
      <c r="H6" s="2">
        <f ca="1"/>
        <v>15</v>
      </c>
      <c r="I6" s="2">
        <f ca="1"/>
        <v>15</v>
      </c>
      <c r="J6" s="2">
        <f ca="1"/>
        <v>14</v>
      </c>
      <c r="K6" s="2">
        <f ca="1"/>
        <v>10</v>
      </c>
      <c r="L6" s="2">
        <f ca="1"/>
        <v>23</v>
      </c>
      <c r="M6" s="2">
        <f ca="1"/>
        <v>70</v>
      </c>
      <c r="N6" s="2">
        <f ca="1"/>
        <v>129</v>
      </c>
      <c r="O6" s="2">
        <f ca="1"/>
        <v>153</v>
      </c>
      <c r="P6" s="2">
        <f ca="1"/>
        <v>150</v>
      </c>
      <c r="Q6" s="2">
        <f ca="1"/>
        <v>152</v>
      </c>
      <c r="R6" s="2">
        <f ca="1"/>
        <v>154</v>
      </c>
      <c r="S6" s="2">
        <f ca="1"/>
        <v>133</v>
      </c>
      <c r="T6" s="2">
        <f ca="1"/>
        <v>81</v>
      </c>
      <c r="U6" s="2">
        <f ca="1"/>
        <v>26</v>
      </c>
      <c r="V6" s="2">
        <f ca="1"/>
        <v>9</v>
      </c>
      <c r="W6" s="2">
        <f ca="1"/>
        <v>14</v>
      </c>
      <c r="X6" s="2">
        <f ca="1"/>
        <v>15</v>
      </c>
      <c r="Y6" s="2">
        <f ca="1"/>
        <v>15</v>
      </c>
      <c r="Z6" s="2">
        <f ca="1"/>
        <v>15</v>
      </c>
      <c r="AE6" s="2" t="s">
        <v>4</v>
      </c>
      <c r="AI6" s="136" t="s">
        <v>7</v>
      </c>
      <c r="AM6" s="2" t="s">
        <v>6</v>
      </c>
      <c r="AT6" s="92"/>
      <c r="AU6" s="90" cm="1">
        <f t="array" aca="1" ref="AU6:AU14" ca="1">AM7:AM15</f>
        <v>0.5</v>
      </c>
      <c r="AV6" s="90"/>
      <c r="AW6" s="90"/>
      <c r="AX6" s="90" t="s">
        <v>80</v>
      </c>
      <c r="AY6" s="90"/>
      <c r="AZ6" s="90"/>
      <c r="BA6" s="90"/>
      <c r="BB6" s="90"/>
      <c r="BC6" s="90"/>
      <c r="BD6" s="90"/>
      <c r="BE6" s="93"/>
    </row>
    <row r="7" spans="1:57" ht="17" customHeight="1" x14ac:dyDescent="0.2">
      <c r="D7" s="16" t="s">
        <v>21</v>
      </c>
      <c r="E7" s="49">
        <v>2</v>
      </c>
      <c r="F7" s="4">
        <v>3</v>
      </c>
      <c r="G7" s="2">
        <f ca="1"/>
        <v>15</v>
      </c>
      <c r="H7" s="2">
        <f ca="1"/>
        <v>15</v>
      </c>
      <c r="I7" s="2">
        <f ca="1"/>
        <v>12</v>
      </c>
      <c r="J7" s="2">
        <f ca="1"/>
        <v>15</v>
      </c>
      <c r="K7" s="2">
        <f ca="1"/>
        <v>78</v>
      </c>
      <c r="L7" s="2">
        <f ca="1"/>
        <v>160</v>
      </c>
      <c r="M7" s="2">
        <f ca="1"/>
        <v>159</v>
      </c>
      <c r="N7" s="2">
        <f ca="1"/>
        <v>113</v>
      </c>
      <c r="O7" s="2">
        <f ca="1"/>
        <v>81</v>
      </c>
      <c r="P7" s="2">
        <f ca="1"/>
        <v>76</v>
      </c>
      <c r="Q7" s="2">
        <f ca="1"/>
        <v>72</v>
      </c>
      <c r="R7" s="2">
        <f ca="1"/>
        <v>80</v>
      </c>
      <c r="S7" s="2">
        <f ca="1"/>
        <v>98</v>
      </c>
      <c r="T7" s="2">
        <f ca="1"/>
        <v>137</v>
      </c>
      <c r="U7" s="2">
        <f ca="1"/>
        <v>158</v>
      </c>
      <c r="V7" s="2">
        <f ca="1"/>
        <v>94</v>
      </c>
      <c r="W7" s="2">
        <f ca="1"/>
        <v>18</v>
      </c>
      <c r="X7" s="2">
        <f ca="1"/>
        <v>11</v>
      </c>
      <c r="Y7" s="2">
        <f ca="1"/>
        <v>15</v>
      </c>
      <c r="Z7" s="2">
        <f ca="1"/>
        <v>15</v>
      </c>
      <c r="AE7" s="21" cm="1">
        <f t="array" aca="1" ref="AE7:AG9" ca="1">Q22:S24</f>
        <v>197</v>
      </c>
      <c r="AF7" s="21">
        <f ca="1"/>
        <v>127</v>
      </c>
      <c r="AG7" s="21">
        <f ca="1"/>
        <v>113</v>
      </c>
      <c r="AI7" s="21" cm="1">
        <f t="array" aca="1" ref="AI7:AK9" ca="1">ROUND((_xlfn.ANCHORARRAY(AE7)-127.5)/127.5,1)</f>
        <v>0.5</v>
      </c>
      <c r="AJ7" s="21">
        <f ca="1"/>
        <v>0</v>
      </c>
      <c r="AK7" s="21">
        <f ca="1"/>
        <v>-0.1</v>
      </c>
      <c r="AM7" s="21" cm="1">
        <f t="array" aca="1" ref="AM7:AM16" ca="1">_xlfn.VSTACK(ROUND(_xlfn.TOCOL(_xlfn.ANCHORARRAY(AI7)),2),1)</f>
        <v>0.5</v>
      </c>
      <c r="AT7" s="92"/>
      <c r="AU7" s="90">
        <f ca="1"/>
        <v>0</v>
      </c>
      <c r="AV7" s="90"/>
      <c r="AW7" s="90"/>
      <c r="AX7" s="90" cm="1">
        <f t="array" aca="1" ref="AX7:AX13" ca="1">AO19:AO25</f>
        <v>1.3</v>
      </c>
      <c r="AY7" s="90"/>
      <c r="AZ7" s="90"/>
      <c r="BA7" s="90" t="s">
        <v>81</v>
      </c>
      <c r="BB7" s="90"/>
      <c r="BC7" s="90"/>
      <c r="BD7" s="90"/>
      <c r="BE7" s="93"/>
    </row>
    <row r="8" spans="1:57" ht="17" customHeight="1" x14ac:dyDescent="0.2">
      <c r="F8" s="4">
        <v>4</v>
      </c>
      <c r="G8" s="2">
        <f ca="1"/>
        <v>15</v>
      </c>
      <c r="H8" s="2">
        <f ca="1"/>
        <v>10</v>
      </c>
      <c r="I8" s="2">
        <f ca="1"/>
        <v>38</v>
      </c>
      <c r="J8" s="2">
        <f ca="1"/>
        <v>131</v>
      </c>
      <c r="K8" s="2">
        <f ca="1"/>
        <v>133</v>
      </c>
      <c r="L8" s="2">
        <f ca="1"/>
        <v>99</v>
      </c>
      <c r="M8" s="2">
        <f ca="1"/>
        <v>78</v>
      </c>
      <c r="N8" s="2">
        <f ca="1"/>
        <v>70</v>
      </c>
      <c r="O8" s="2">
        <f ca="1"/>
        <v>67</v>
      </c>
      <c r="P8" s="2">
        <f ca="1"/>
        <v>74</v>
      </c>
      <c r="Q8" s="2">
        <f ca="1"/>
        <v>79</v>
      </c>
      <c r="R8" s="2">
        <f ca="1"/>
        <v>77</v>
      </c>
      <c r="S8" s="2">
        <f ca="1"/>
        <v>75</v>
      </c>
      <c r="T8" s="2">
        <f ca="1"/>
        <v>76</v>
      </c>
      <c r="U8" s="2">
        <f ca="1"/>
        <v>92</v>
      </c>
      <c r="V8" s="2">
        <f ca="1"/>
        <v>143</v>
      </c>
      <c r="W8" s="2">
        <f ca="1"/>
        <v>131</v>
      </c>
      <c r="X8" s="2">
        <f ca="1"/>
        <v>37</v>
      </c>
      <c r="Y8" s="2">
        <f ca="1"/>
        <v>10</v>
      </c>
      <c r="Z8" s="2">
        <f ca="1"/>
        <v>15</v>
      </c>
      <c r="AE8" s="21">
        <f ca="1"/>
        <v>168</v>
      </c>
      <c r="AF8" s="21">
        <f ca="1"/>
        <v>140</v>
      </c>
      <c r="AG8" s="21">
        <f ca="1"/>
        <v>163</v>
      </c>
      <c r="AI8" s="21">
        <f ca="1"/>
        <v>0.3</v>
      </c>
      <c r="AJ8" s="21">
        <f ca="1"/>
        <v>0.1</v>
      </c>
      <c r="AK8" s="21">
        <f ca="1"/>
        <v>0.3</v>
      </c>
      <c r="AM8" s="21">
        <f ca="1"/>
        <v>0</v>
      </c>
      <c r="AT8" s="92"/>
      <c r="AU8" s="90">
        <f ca="1"/>
        <v>-0.1</v>
      </c>
      <c r="AV8" s="90"/>
      <c r="AW8" s="90"/>
      <c r="AX8" s="90">
        <f ca="1"/>
        <v>0</v>
      </c>
      <c r="AY8" s="90"/>
      <c r="AZ8" s="90"/>
      <c r="BA8" s="90" cm="1">
        <f t="array" aca="1" ref="BA8:BA12" ca="1">AQ29:AQ33</f>
        <v>0</v>
      </c>
      <c r="BB8" s="90"/>
      <c r="BC8" s="90"/>
      <c r="BD8" s="90" t="s">
        <v>64</v>
      </c>
      <c r="BE8" s="93"/>
    </row>
    <row r="9" spans="1:57" ht="17" customHeight="1" x14ac:dyDescent="0.2">
      <c r="E9" s="4" t="s">
        <v>93</v>
      </c>
      <c r="F9" s="4">
        <v>5</v>
      </c>
      <c r="G9" s="2">
        <f ca="1"/>
        <v>10</v>
      </c>
      <c r="H9" s="2">
        <f ca="1"/>
        <v>50</v>
      </c>
      <c r="I9" s="2">
        <f ca="1"/>
        <v>128</v>
      </c>
      <c r="J9" s="2">
        <f ca="1"/>
        <v>118</v>
      </c>
      <c r="K9" s="2">
        <f ca="1"/>
        <v>88</v>
      </c>
      <c r="L9" s="2">
        <f ca="1"/>
        <v>79</v>
      </c>
      <c r="M9" s="2">
        <f ca="1"/>
        <v>82</v>
      </c>
      <c r="N9" s="2">
        <f ca="1"/>
        <v>85</v>
      </c>
      <c r="O9" s="2">
        <f ca="1"/>
        <v>83</v>
      </c>
      <c r="P9" s="2">
        <f ca="1"/>
        <v>84</v>
      </c>
      <c r="Q9" s="2">
        <f ca="1"/>
        <v>85</v>
      </c>
      <c r="R9" s="2">
        <f ca="1"/>
        <v>86</v>
      </c>
      <c r="S9" s="2">
        <f ca="1"/>
        <v>81</v>
      </c>
      <c r="T9" s="2">
        <f ca="1"/>
        <v>84</v>
      </c>
      <c r="U9" s="2">
        <f ca="1"/>
        <v>81</v>
      </c>
      <c r="V9" s="2">
        <f ca="1"/>
        <v>80</v>
      </c>
      <c r="W9" s="2">
        <f ca="1"/>
        <v>113</v>
      </c>
      <c r="X9" s="2">
        <f ca="1"/>
        <v>135</v>
      </c>
      <c r="Y9" s="2">
        <f ca="1"/>
        <v>52</v>
      </c>
      <c r="Z9" s="2">
        <f ca="1"/>
        <v>11</v>
      </c>
      <c r="AE9" s="21">
        <f ca="1"/>
        <v>114</v>
      </c>
      <c r="AF9" s="21">
        <f ca="1"/>
        <v>126</v>
      </c>
      <c r="AG9" s="21">
        <f ca="1"/>
        <v>168</v>
      </c>
      <c r="AI9" s="21">
        <f ca="1"/>
        <v>-0.1</v>
      </c>
      <c r="AJ9" s="21">
        <f ca="1"/>
        <v>0</v>
      </c>
      <c r="AK9" s="21">
        <f ca="1"/>
        <v>0.3</v>
      </c>
      <c r="AM9" s="21">
        <f ca="1"/>
        <v>-0.1</v>
      </c>
      <c r="AT9" s="92"/>
      <c r="AU9" s="90">
        <f ca="1"/>
        <v>0.3</v>
      </c>
      <c r="AV9" s="90"/>
      <c r="AW9" s="90"/>
      <c r="AX9" s="90">
        <f ca="1"/>
        <v>0</v>
      </c>
      <c r="AY9" s="90"/>
      <c r="AZ9" s="90"/>
      <c r="BA9" s="90">
        <f ca="1"/>
        <v>1.8</v>
      </c>
      <c r="BB9" s="90"/>
      <c r="BC9" s="90"/>
      <c r="BD9" s="90" cm="1">
        <f t="array" aca="1" ref="BD9:BD12" ca="1">_xlfn.ANCHORARRAY(AS37)</f>
        <v>0.14147447671272562</v>
      </c>
      <c r="BE9" s="93"/>
    </row>
    <row r="10" spans="1:57" ht="17" customHeight="1" x14ac:dyDescent="0.2">
      <c r="D10" s="16" t="s">
        <v>20</v>
      </c>
      <c r="E10" s="35" cm="1">
        <f t="array" ref="E10:E13">TRANSPOSE(IF(_xlfn.SEQUENCE(1,COUNT([0]!Classes),1,1)=E6,1,0))</f>
        <v>0</v>
      </c>
      <c r="F10" s="4">
        <v>6</v>
      </c>
      <c r="G10" s="2">
        <f ca="1"/>
        <v>40</v>
      </c>
      <c r="H10" s="2">
        <f ca="1"/>
        <v>138</v>
      </c>
      <c r="I10" s="2">
        <f ca="1"/>
        <v>105</v>
      </c>
      <c r="J10" s="2">
        <f ca="1"/>
        <v>82</v>
      </c>
      <c r="K10" s="2">
        <f ca="1"/>
        <v>74</v>
      </c>
      <c r="L10" s="2">
        <f ca="1"/>
        <v>85</v>
      </c>
      <c r="M10" s="2">
        <f ca="1"/>
        <v>88</v>
      </c>
      <c r="N10" s="2">
        <f ca="1"/>
        <v>87</v>
      </c>
      <c r="O10" s="2">
        <f ca="1"/>
        <v>88</v>
      </c>
      <c r="P10" s="2">
        <f ca="1"/>
        <v>88</v>
      </c>
      <c r="Q10" s="2">
        <f ca="1"/>
        <v>81</v>
      </c>
      <c r="R10" s="2">
        <f ca="1"/>
        <v>89</v>
      </c>
      <c r="S10" s="2">
        <f ca="1"/>
        <v>89</v>
      </c>
      <c r="T10" s="2">
        <f ca="1"/>
        <v>89</v>
      </c>
      <c r="U10" s="2">
        <f ca="1"/>
        <v>76</v>
      </c>
      <c r="V10" s="2">
        <f ca="1"/>
        <v>78</v>
      </c>
      <c r="W10" s="2">
        <f ca="1"/>
        <v>88</v>
      </c>
      <c r="X10" s="2">
        <f ca="1"/>
        <v>110</v>
      </c>
      <c r="Y10" s="2">
        <f ca="1"/>
        <v>133</v>
      </c>
      <c r="Z10" s="2">
        <f ca="1"/>
        <v>43</v>
      </c>
      <c r="AM10" s="21">
        <f ca="1"/>
        <v>0.3</v>
      </c>
      <c r="AT10" s="92"/>
      <c r="AU10" s="90">
        <f ca="1"/>
        <v>0.1</v>
      </c>
      <c r="AV10" s="90"/>
      <c r="AW10" s="90"/>
      <c r="AX10" s="90">
        <f ca="1"/>
        <v>0</v>
      </c>
      <c r="AY10" s="90"/>
      <c r="AZ10" s="90"/>
      <c r="BA10" s="90">
        <f ca="1"/>
        <v>0</v>
      </c>
      <c r="BB10" s="90"/>
      <c r="BC10" s="90"/>
      <c r="BD10" s="90">
        <f ca="1"/>
        <v>0.14289631884183376</v>
      </c>
      <c r="BE10" s="93"/>
    </row>
    <row r="11" spans="1:57" ht="17" customHeight="1" x14ac:dyDescent="0.2">
      <c r="D11" s="16" t="s">
        <v>8</v>
      </c>
      <c r="E11" s="35">
        <v>0</v>
      </c>
      <c r="F11" s="4">
        <v>7</v>
      </c>
      <c r="G11" s="2">
        <f ca="1"/>
        <v>116</v>
      </c>
      <c r="H11" s="2">
        <f ca="1"/>
        <v>105</v>
      </c>
      <c r="I11" s="2">
        <f ca="1"/>
        <v>74</v>
      </c>
      <c r="J11" s="2">
        <f ca="1"/>
        <v>81</v>
      </c>
      <c r="K11" s="2">
        <f ca="1"/>
        <v>80</v>
      </c>
      <c r="L11" s="2">
        <f ca="1"/>
        <v>82</v>
      </c>
      <c r="M11" s="2">
        <f ca="1"/>
        <v>86</v>
      </c>
      <c r="N11" s="2">
        <f ca="1"/>
        <v>89</v>
      </c>
      <c r="O11" s="2">
        <f ca="1"/>
        <v>86</v>
      </c>
      <c r="P11" s="2">
        <f ca="1"/>
        <v>82</v>
      </c>
      <c r="Q11" s="2">
        <f ca="1"/>
        <v>84</v>
      </c>
      <c r="R11" s="2">
        <f ca="1"/>
        <v>89</v>
      </c>
      <c r="S11" s="2">
        <f ca="1"/>
        <v>90</v>
      </c>
      <c r="T11" s="2">
        <f ca="1"/>
        <v>87</v>
      </c>
      <c r="U11" s="2">
        <f ca="1"/>
        <v>84</v>
      </c>
      <c r="V11" s="2">
        <f ca="1"/>
        <v>83</v>
      </c>
      <c r="W11" s="2">
        <f ca="1"/>
        <v>65</v>
      </c>
      <c r="X11" s="2">
        <f ca="1"/>
        <v>67</v>
      </c>
      <c r="Y11" s="2">
        <f ca="1"/>
        <v>83</v>
      </c>
      <c r="Z11" s="2">
        <f ca="1"/>
        <v>112</v>
      </c>
      <c r="AM11" s="21">
        <f ca="1"/>
        <v>0.1</v>
      </c>
      <c r="AT11" s="92"/>
      <c r="AU11" s="90">
        <f ca="1"/>
        <v>0.3</v>
      </c>
      <c r="AV11" s="90"/>
      <c r="AW11" s="90"/>
      <c r="AX11" s="90">
        <f ca="1"/>
        <v>0</v>
      </c>
      <c r="AY11" s="90"/>
      <c r="AZ11" s="90"/>
      <c r="BA11" s="90">
        <f ca="1"/>
        <v>1.1000000000000001</v>
      </c>
      <c r="BB11" s="90"/>
      <c r="BC11" s="90"/>
      <c r="BD11" s="90">
        <f ca="1"/>
        <v>0.25521831706423093</v>
      </c>
      <c r="BE11" s="93"/>
    </row>
    <row r="12" spans="1:57" ht="17" customHeight="1" x14ac:dyDescent="0.2">
      <c r="D12" s="16" t="s">
        <v>9</v>
      </c>
      <c r="E12" s="35">
        <v>0</v>
      </c>
      <c r="F12" s="4">
        <v>8</v>
      </c>
      <c r="G12" s="2">
        <f ca="1"/>
        <v>109</v>
      </c>
      <c r="H12" s="2">
        <f ca="1"/>
        <v>68</v>
      </c>
      <c r="I12" s="2">
        <f ca="1"/>
        <v>66</v>
      </c>
      <c r="J12" s="2">
        <f ca="1"/>
        <v>83</v>
      </c>
      <c r="K12" s="2">
        <f ca="1"/>
        <v>87</v>
      </c>
      <c r="L12" s="2">
        <f ca="1"/>
        <v>87</v>
      </c>
      <c r="M12" s="2">
        <f ca="1"/>
        <v>89</v>
      </c>
      <c r="N12" s="2">
        <f ca="1"/>
        <v>91</v>
      </c>
      <c r="O12" s="2">
        <f ca="1"/>
        <v>84</v>
      </c>
      <c r="P12" s="2">
        <f ca="1"/>
        <v>84</v>
      </c>
      <c r="Q12" s="2">
        <f ca="1"/>
        <v>87</v>
      </c>
      <c r="R12" s="2">
        <f ca="1"/>
        <v>90</v>
      </c>
      <c r="S12" s="2">
        <f ca="1"/>
        <v>92</v>
      </c>
      <c r="T12" s="2">
        <f ca="1"/>
        <v>91</v>
      </c>
      <c r="U12" s="2">
        <f ca="1"/>
        <v>88</v>
      </c>
      <c r="V12" s="2">
        <f ca="1"/>
        <v>83</v>
      </c>
      <c r="W12" s="2">
        <f ca="1"/>
        <v>81</v>
      </c>
      <c r="X12" s="2">
        <f ca="1"/>
        <v>66</v>
      </c>
      <c r="Y12" s="2">
        <f ca="1"/>
        <v>59</v>
      </c>
      <c r="Z12" s="2">
        <f ca="1"/>
        <v>92</v>
      </c>
      <c r="AM12" s="21">
        <f ca="1"/>
        <v>0.3</v>
      </c>
      <c r="AT12" s="92"/>
      <c r="AU12" s="90">
        <f ca="1"/>
        <v>-0.1</v>
      </c>
      <c r="AV12" s="90"/>
      <c r="AW12" s="90"/>
      <c r="AX12" s="90">
        <f ca="1"/>
        <v>0</v>
      </c>
      <c r="AY12" s="90"/>
      <c r="AZ12" s="90"/>
      <c r="BA12" s="90">
        <f ca="1"/>
        <v>0</v>
      </c>
      <c r="BB12" s="90"/>
      <c r="BC12" s="90"/>
      <c r="BD12" s="90">
        <f ca="1"/>
        <v>0.46041088738120978</v>
      </c>
      <c r="BE12" s="93"/>
    </row>
    <row r="13" spans="1:57" ht="17" customHeight="1" x14ac:dyDescent="0.2">
      <c r="D13" s="16" t="s">
        <v>10</v>
      </c>
      <c r="E13" s="35">
        <v>1</v>
      </c>
      <c r="F13" s="4">
        <v>9</v>
      </c>
      <c r="G13" s="2">
        <f ca="1"/>
        <v>63</v>
      </c>
      <c r="H13" s="2">
        <f ca="1"/>
        <v>72</v>
      </c>
      <c r="I13" s="2">
        <f ca="1"/>
        <v>81</v>
      </c>
      <c r="J13" s="2">
        <f ca="1"/>
        <v>87</v>
      </c>
      <c r="K13" s="2">
        <f ca="1"/>
        <v>88</v>
      </c>
      <c r="L13" s="2">
        <f ca="1"/>
        <v>90</v>
      </c>
      <c r="M13" s="2">
        <f ca="1"/>
        <v>92</v>
      </c>
      <c r="N13" s="2">
        <f ca="1"/>
        <v>94</v>
      </c>
      <c r="O13" s="2">
        <f ca="1"/>
        <v>91</v>
      </c>
      <c r="P13" s="2">
        <f ca="1"/>
        <v>87</v>
      </c>
      <c r="Q13" s="2">
        <f ca="1"/>
        <v>85</v>
      </c>
      <c r="R13" s="2">
        <f ca="1"/>
        <v>93</v>
      </c>
      <c r="S13" s="2">
        <f ca="1"/>
        <v>95</v>
      </c>
      <c r="T13" s="2">
        <f ca="1"/>
        <v>92</v>
      </c>
      <c r="U13" s="2">
        <f ca="1"/>
        <v>88</v>
      </c>
      <c r="V13" s="2">
        <f ca="1"/>
        <v>86</v>
      </c>
      <c r="W13" s="2">
        <f ca="1"/>
        <v>82</v>
      </c>
      <c r="X13" s="2">
        <f ca="1"/>
        <v>83</v>
      </c>
      <c r="Y13" s="2">
        <f ca="1"/>
        <v>76</v>
      </c>
      <c r="Z13" s="2">
        <f ca="1"/>
        <v>67</v>
      </c>
      <c r="AM13" s="21">
        <f ca="1"/>
        <v>-0.1</v>
      </c>
      <c r="AT13" s="92"/>
      <c r="AU13" s="90">
        <f ca="1"/>
        <v>0</v>
      </c>
      <c r="AV13" s="90"/>
      <c r="AW13" s="90"/>
      <c r="AX13" s="90">
        <f ca="1"/>
        <v>0</v>
      </c>
      <c r="AY13" s="90"/>
      <c r="AZ13" s="90"/>
      <c r="BA13" s="90"/>
      <c r="BB13" s="90"/>
      <c r="BC13" s="90"/>
      <c r="BD13" s="90"/>
      <c r="BE13" s="93"/>
    </row>
    <row r="14" spans="1:57" ht="17" customHeight="1" x14ac:dyDescent="0.2">
      <c r="F14" s="4">
        <v>10</v>
      </c>
      <c r="G14" s="2">
        <f ca="1"/>
        <v>53</v>
      </c>
      <c r="H14" s="2">
        <f ca="1"/>
        <v>81</v>
      </c>
      <c r="I14" s="2">
        <f ca="1"/>
        <v>84</v>
      </c>
      <c r="J14" s="2">
        <f ca="1"/>
        <v>89</v>
      </c>
      <c r="K14" s="2">
        <f ca="1"/>
        <v>89</v>
      </c>
      <c r="L14" s="2">
        <f ca="1"/>
        <v>89</v>
      </c>
      <c r="M14" s="2">
        <f ca="1"/>
        <v>91</v>
      </c>
      <c r="N14" s="2">
        <f ca="1"/>
        <v>97</v>
      </c>
      <c r="O14" s="21">
        <f ca="1"/>
        <v>88</v>
      </c>
      <c r="P14" s="21">
        <f ca="1"/>
        <v>80</v>
      </c>
      <c r="Q14" s="21">
        <f ca="1"/>
        <v>84</v>
      </c>
      <c r="R14" s="2">
        <f ca="1"/>
        <v>93</v>
      </c>
      <c r="S14" s="2">
        <f ca="1"/>
        <v>96</v>
      </c>
      <c r="T14" s="2">
        <f ca="1"/>
        <v>90</v>
      </c>
      <c r="U14" s="2">
        <f ca="1"/>
        <v>88</v>
      </c>
      <c r="V14" s="2">
        <f ca="1"/>
        <v>87</v>
      </c>
      <c r="W14" s="2">
        <f ca="1"/>
        <v>81</v>
      </c>
      <c r="X14" s="2">
        <f ca="1"/>
        <v>78</v>
      </c>
      <c r="Y14" s="2">
        <f ca="1"/>
        <v>78</v>
      </c>
      <c r="Z14" s="2">
        <f ca="1"/>
        <v>64</v>
      </c>
      <c r="AM14" s="21">
        <f ca="1"/>
        <v>0</v>
      </c>
      <c r="AT14" s="92"/>
      <c r="AU14" s="90">
        <f ca="1"/>
        <v>0.3</v>
      </c>
      <c r="AV14" s="90"/>
      <c r="AW14" s="90"/>
      <c r="AX14" s="90"/>
      <c r="AY14" s="90"/>
      <c r="AZ14" s="90"/>
      <c r="BA14" s="90"/>
      <c r="BB14" s="90"/>
      <c r="BC14" s="90"/>
      <c r="BD14" s="90"/>
      <c r="BE14" s="93"/>
    </row>
    <row r="15" spans="1:57" ht="17" customHeight="1" x14ac:dyDescent="0.2">
      <c r="F15" s="4">
        <v>11</v>
      </c>
      <c r="G15" s="2">
        <f ca="1"/>
        <v>62</v>
      </c>
      <c r="H15" s="2">
        <f ca="1"/>
        <v>77</v>
      </c>
      <c r="I15" s="2">
        <f ca="1"/>
        <v>85</v>
      </c>
      <c r="J15" s="2">
        <f ca="1"/>
        <v>88</v>
      </c>
      <c r="K15" s="2">
        <f ca="1"/>
        <v>84</v>
      </c>
      <c r="L15" s="2">
        <f ca="1"/>
        <v>87</v>
      </c>
      <c r="M15" s="2">
        <f ca="1"/>
        <v>93</v>
      </c>
      <c r="N15" s="2">
        <f ca="1"/>
        <v>94</v>
      </c>
      <c r="O15" s="21">
        <f ca="1"/>
        <v>89</v>
      </c>
      <c r="P15" s="21">
        <f ca="1"/>
        <v>43</v>
      </c>
      <c r="Q15" s="21">
        <f ca="1"/>
        <v>58</v>
      </c>
      <c r="R15" s="2">
        <f ca="1"/>
        <v>91</v>
      </c>
      <c r="S15" s="2">
        <f ca="1"/>
        <v>94</v>
      </c>
      <c r="T15" s="2">
        <f ca="1"/>
        <v>94</v>
      </c>
      <c r="U15" s="2">
        <f ca="1"/>
        <v>85</v>
      </c>
      <c r="V15" s="2">
        <f ca="1"/>
        <v>84</v>
      </c>
      <c r="W15" s="2">
        <f ca="1"/>
        <v>80</v>
      </c>
      <c r="X15" s="2">
        <f ca="1"/>
        <v>77</v>
      </c>
      <c r="Y15" s="2">
        <f ca="1"/>
        <v>78</v>
      </c>
      <c r="Z15" s="2">
        <f ca="1"/>
        <v>59</v>
      </c>
      <c r="AM15" s="173">
        <f ca="1"/>
        <v>0.3</v>
      </c>
      <c r="AT15" s="130"/>
      <c r="AU15" s="131"/>
      <c r="AV15" s="131"/>
      <c r="AW15" s="131"/>
      <c r="AX15" s="131"/>
      <c r="AY15" s="131"/>
      <c r="AZ15" s="131"/>
      <c r="BA15" s="131"/>
      <c r="BB15" s="131"/>
      <c r="BC15" s="131"/>
      <c r="BD15" s="131"/>
      <c r="BE15" s="96"/>
    </row>
    <row r="16" spans="1:57" ht="17" customHeight="1" x14ac:dyDescent="0.2">
      <c r="F16" s="4">
        <v>12</v>
      </c>
      <c r="G16" s="2">
        <f ca="1"/>
        <v>58</v>
      </c>
      <c r="H16" s="2">
        <f ca="1"/>
        <v>76</v>
      </c>
      <c r="I16" s="2">
        <f ca="1"/>
        <v>83</v>
      </c>
      <c r="J16" s="2">
        <f ca="1"/>
        <v>84</v>
      </c>
      <c r="K16" s="2">
        <f ca="1"/>
        <v>76</v>
      </c>
      <c r="L16" s="2">
        <f ca="1"/>
        <v>90</v>
      </c>
      <c r="M16" s="2">
        <f ca="1"/>
        <v>97</v>
      </c>
      <c r="N16" s="2">
        <f ca="1"/>
        <v>95</v>
      </c>
      <c r="O16" s="21">
        <f ca="1"/>
        <v>95</v>
      </c>
      <c r="P16" s="21">
        <f ca="1"/>
        <v>67</v>
      </c>
      <c r="Q16" s="21">
        <f ca="1"/>
        <v>78</v>
      </c>
      <c r="R16" s="2">
        <f ca="1"/>
        <v>95</v>
      </c>
      <c r="S16" s="2">
        <f ca="1"/>
        <v>96</v>
      </c>
      <c r="T16" s="2">
        <f ca="1"/>
        <v>97</v>
      </c>
      <c r="U16" s="2">
        <f ca="1"/>
        <v>88</v>
      </c>
      <c r="V16" s="2">
        <f ca="1"/>
        <v>78</v>
      </c>
      <c r="W16" s="2">
        <f ca="1"/>
        <v>82</v>
      </c>
      <c r="X16" s="2">
        <f ca="1"/>
        <v>77</v>
      </c>
      <c r="Y16" s="2">
        <f ca="1"/>
        <v>71</v>
      </c>
      <c r="Z16" s="2">
        <f ca="1"/>
        <v>47</v>
      </c>
      <c r="AM16" s="19">
        <f ca="1"/>
        <v>1</v>
      </c>
    </row>
    <row r="17" spans="6:56" ht="17" customHeight="1" x14ac:dyDescent="0.2">
      <c r="F17" s="4">
        <v>13</v>
      </c>
      <c r="G17" s="2">
        <f ca="1"/>
        <v>49</v>
      </c>
      <c r="H17" s="2">
        <f ca="1"/>
        <v>74</v>
      </c>
      <c r="I17" s="2">
        <f ca="1"/>
        <v>82</v>
      </c>
      <c r="J17" s="2">
        <f ca="1"/>
        <v>59</v>
      </c>
      <c r="K17" s="2">
        <f ca="1"/>
        <v>81</v>
      </c>
      <c r="L17" s="2">
        <f ca="1"/>
        <v>90</v>
      </c>
      <c r="M17" s="2">
        <f ca="1"/>
        <v>94</v>
      </c>
      <c r="N17" s="2">
        <f ca="1"/>
        <v>96</v>
      </c>
      <c r="O17" s="2">
        <f ca="1"/>
        <v>98</v>
      </c>
      <c r="P17" s="2">
        <f ca="1"/>
        <v>91</v>
      </c>
      <c r="Q17" s="2">
        <f ca="1"/>
        <v>87</v>
      </c>
      <c r="R17" s="2">
        <f ca="1"/>
        <v>98</v>
      </c>
      <c r="S17" s="2">
        <f ca="1"/>
        <v>98</v>
      </c>
      <c r="T17" s="2">
        <f ca="1"/>
        <v>95</v>
      </c>
      <c r="U17" s="2">
        <f ca="1"/>
        <v>89</v>
      </c>
      <c r="V17" s="2">
        <f ca="1"/>
        <v>81</v>
      </c>
      <c r="W17" s="2">
        <f ca="1"/>
        <v>62</v>
      </c>
      <c r="X17" s="2">
        <f ca="1"/>
        <v>75</v>
      </c>
      <c r="Y17" s="2">
        <f ca="1"/>
        <v>65</v>
      </c>
      <c r="Z17" s="2">
        <f ca="1"/>
        <v>54</v>
      </c>
      <c r="AB17" s="15" t="s">
        <v>79</v>
      </c>
      <c r="AC17" s="15"/>
    </row>
    <row r="18" spans="6:56" ht="17" customHeight="1" x14ac:dyDescent="0.2">
      <c r="F18" s="4">
        <v>14</v>
      </c>
      <c r="G18" s="2">
        <f ca="1"/>
        <v>55</v>
      </c>
      <c r="H18" s="2">
        <f ca="1"/>
        <v>68</v>
      </c>
      <c r="I18" s="2">
        <f ca="1"/>
        <v>86</v>
      </c>
      <c r="J18" s="2">
        <f ca="1"/>
        <v>66</v>
      </c>
      <c r="K18" s="2">
        <f ca="1"/>
        <v>76</v>
      </c>
      <c r="L18" s="2">
        <f ca="1"/>
        <v>89</v>
      </c>
      <c r="M18" s="2">
        <f ca="1"/>
        <v>92</v>
      </c>
      <c r="N18" s="2">
        <f ca="1"/>
        <v>88</v>
      </c>
      <c r="O18" s="2">
        <f ca="1"/>
        <v>73</v>
      </c>
      <c r="P18" s="2">
        <f ca="1"/>
        <v>77</v>
      </c>
      <c r="Q18" s="2">
        <f ca="1"/>
        <v>78</v>
      </c>
      <c r="R18" s="2">
        <f ca="1"/>
        <v>77</v>
      </c>
      <c r="S18" s="2">
        <f ca="1"/>
        <v>70</v>
      </c>
      <c r="T18" s="2">
        <f ca="1"/>
        <v>84</v>
      </c>
      <c r="U18" s="2">
        <f ca="1"/>
        <v>89</v>
      </c>
      <c r="V18" s="2">
        <f ca="1"/>
        <v>80</v>
      </c>
      <c r="W18" s="2">
        <f ca="1"/>
        <v>60</v>
      </c>
      <c r="X18" s="2">
        <f ca="1"/>
        <v>80</v>
      </c>
      <c r="Y18" s="2">
        <f ca="1"/>
        <v>63</v>
      </c>
      <c r="Z18" s="2">
        <f ca="1"/>
        <v>72</v>
      </c>
      <c r="AB18" s="2" t="s">
        <v>0</v>
      </c>
      <c r="AK18" s="2" t="s">
        <v>1</v>
      </c>
      <c r="AM18" s="2" t="s">
        <v>2</v>
      </c>
      <c r="AO18" s="2" t="s">
        <v>115</v>
      </c>
      <c r="BA18" s="163"/>
      <c r="BB18" s="163"/>
      <c r="BC18" s="163" t="s">
        <v>118</v>
      </c>
      <c r="BD18" s="52"/>
    </row>
    <row r="19" spans="6:56" ht="17" customHeight="1" x14ac:dyDescent="0.2">
      <c r="F19" s="4">
        <v>15</v>
      </c>
      <c r="G19" s="2">
        <f ca="1"/>
        <v>83</v>
      </c>
      <c r="H19" s="2">
        <f ca="1"/>
        <v>73</v>
      </c>
      <c r="I19" s="2">
        <f ca="1"/>
        <v>80</v>
      </c>
      <c r="J19" s="2">
        <f ca="1"/>
        <v>86</v>
      </c>
      <c r="K19" s="2">
        <f ca="1"/>
        <v>85</v>
      </c>
      <c r="L19" s="2">
        <f ca="1"/>
        <v>88</v>
      </c>
      <c r="M19" s="2">
        <f ca="1"/>
        <v>87</v>
      </c>
      <c r="N19" s="2">
        <f ca="1"/>
        <v>85</v>
      </c>
      <c r="O19" s="2">
        <f ca="1"/>
        <v>58</v>
      </c>
      <c r="P19" s="2">
        <f ca="1"/>
        <v>127</v>
      </c>
      <c r="Q19" s="2">
        <f ca="1"/>
        <v>159</v>
      </c>
      <c r="R19" s="2">
        <f ca="1"/>
        <v>62</v>
      </c>
      <c r="S19" s="2">
        <f ca="1"/>
        <v>53</v>
      </c>
      <c r="T19" s="2">
        <f ca="1"/>
        <v>80</v>
      </c>
      <c r="U19" s="2">
        <f ca="1"/>
        <v>88</v>
      </c>
      <c r="V19" s="2">
        <f ca="1"/>
        <v>84</v>
      </c>
      <c r="W19" s="2">
        <f ca="1"/>
        <v>79</v>
      </c>
      <c r="X19" s="2">
        <f ca="1"/>
        <v>79</v>
      </c>
      <c r="Y19" s="2">
        <f ca="1"/>
        <v>69</v>
      </c>
      <c r="Z19" s="2">
        <f ca="1"/>
        <v>88</v>
      </c>
      <c r="AB19" s="20" cm="1">
        <f t="array" aca="1" ref="AB19:AK25" ca="1">ROUND(_xlfn.RANDARRAY(7, COUNT(AM7:AM16),-1,1),1)</f>
        <v>0.9</v>
      </c>
      <c r="AC19" s="20">
        <f ca="1"/>
        <v>0.7</v>
      </c>
      <c r="AD19" s="20">
        <f ca="1"/>
        <v>-0.3</v>
      </c>
      <c r="AE19" s="20">
        <f ca="1"/>
        <v>0.4</v>
      </c>
      <c r="AF19" s="20">
        <f ca="1"/>
        <v>0</v>
      </c>
      <c r="AG19" s="20">
        <f ca="1"/>
        <v>0</v>
      </c>
      <c r="AH19" s="20">
        <f ca="1"/>
        <v>0.5</v>
      </c>
      <c r="AI19" s="20">
        <f ca="1"/>
        <v>-0.7</v>
      </c>
      <c r="AJ19" s="20">
        <f ca="1"/>
        <v>0.3</v>
      </c>
      <c r="AK19" s="20">
        <f ca="1"/>
        <v>0.7</v>
      </c>
      <c r="AM19" s="20" cm="1">
        <f t="array" aca="1" ref="AM19:AM25" ca="1">ROUND(MMULT(_xlfn.ANCHORARRAY(AB19),AM7:AM16),1)</f>
        <v>1.3</v>
      </c>
      <c r="AO19" s="20" cm="1">
        <f t="array" aca="1" ref="AO19:AO26" ca="1">_xlfn.VSTACK(IF(_xlfn.ANCHORARRAY(AM19)&gt;0,_xlfn.ANCHORARRAY( AM19), 0),1)</f>
        <v>1.3</v>
      </c>
    </row>
    <row r="20" spans="6:56" ht="17" customHeight="1" x14ac:dyDescent="0.2">
      <c r="F20" s="4">
        <v>16</v>
      </c>
      <c r="G20" s="2">
        <f ca="1"/>
        <v>109</v>
      </c>
      <c r="H20" s="2">
        <f ca="1"/>
        <v>67</v>
      </c>
      <c r="I20" s="2">
        <f ca="1"/>
        <v>83</v>
      </c>
      <c r="J20" s="2">
        <f ca="1"/>
        <v>87</v>
      </c>
      <c r="K20" s="2">
        <f ca="1"/>
        <v>90</v>
      </c>
      <c r="L20" s="2">
        <f ca="1"/>
        <v>89</v>
      </c>
      <c r="M20" s="2">
        <f ca="1"/>
        <v>90</v>
      </c>
      <c r="N20" s="2">
        <f ca="1"/>
        <v>85</v>
      </c>
      <c r="O20" s="2">
        <f ca="1"/>
        <v>118</v>
      </c>
      <c r="P20" s="2">
        <f ca="1"/>
        <v>196</v>
      </c>
      <c r="Q20" s="2">
        <f ca="1"/>
        <v>197</v>
      </c>
      <c r="R20" s="2">
        <f ca="1"/>
        <v>156</v>
      </c>
      <c r="S20" s="2">
        <f ca="1"/>
        <v>103</v>
      </c>
      <c r="T20" s="2">
        <f ca="1"/>
        <v>85</v>
      </c>
      <c r="U20" s="2">
        <f ca="1"/>
        <v>92</v>
      </c>
      <c r="V20" s="2">
        <f ca="1"/>
        <v>87</v>
      </c>
      <c r="W20" s="2">
        <f ca="1"/>
        <v>82</v>
      </c>
      <c r="X20" s="2">
        <f ca="1"/>
        <v>74</v>
      </c>
      <c r="Y20" s="2">
        <f ca="1"/>
        <v>65</v>
      </c>
      <c r="Z20" s="2">
        <f ca="1"/>
        <v>107</v>
      </c>
      <c r="AB20" s="20">
        <f ca="1"/>
        <v>-0.9</v>
      </c>
      <c r="AC20" s="20">
        <f ca="1"/>
        <v>-1</v>
      </c>
      <c r="AD20" s="20">
        <f ca="1"/>
        <v>0.3</v>
      </c>
      <c r="AE20" s="20">
        <f ca="1"/>
        <v>-1</v>
      </c>
      <c r="AF20" s="20">
        <f ca="1"/>
        <v>0.6</v>
      </c>
      <c r="AG20" s="20">
        <f ca="1"/>
        <v>0.7</v>
      </c>
      <c r="AH20" s="20">
        <f ca="1"/>
        <v>-0.3</v>
      </c>
      <c r="AI20" s="20">
        <f ca="1"/>
        <v>0.1</v>
      </c>
      <c r="AJ20" s="20">
        <f ca="1"/>
        <v>-0.7</v>
      </c>
      <c r="AK20" s="20">
        <f ca="1"/>
        <v>-0.3</v>
      </c>
      <c r="AM20" s="20">
        <f ca="1"/>
        <v>-1</v>
      </c>
      <c r="AO20" s="20">
        <f ca="1"/>
        <v>0</v>
      </c>
      <c r="BA20" s="18" t="s">
        <v>83</v>
      </c>
      <c r="BC20" s="2" t="s">
        <v>4</v>
      </c>
    </row>
    <row r="21" spans="6:56" ht="17" customHeight="1" x14ac:dyDescent="0.2">
      <c r="F21" s="4">
        <v>17</v>
      </c>
      <c r="G21" s="2">
        <f ca="1"/>
        <v>161</v>
      </c>
      <c r="H21" s="2">
        <f ca="1"/>
        <v>80</v>
      </c>
      <c r="I21" s="2">
        <f ca="1"/>
        <v>75</v>
      </c>
      <c r="J21" s="2">
        <f ca="1"/>
        <v>85</v>
      </c>
      <c r="K21" s="2">
        <f ca="1"/>
        <v>88</v>
      </c>
      <c r="L21" s="2">
        <f ca="1"/>
        <v>84</v>
      </c>
      <c r="M21" s="2">
        <f ca="1"/>
        <v>86</v>
      </c>
      <c r="N21" s="2">
        <f ca="1"/>
        <v>84</v>
      </c>
      <c r="O21" s="2">
        <f ca="1"/>
        <v>118</v>
      </c>
      <c r="P21" s="2">
        <f ca="1"/>
        <v>186</v>
      </c>
      <c r="Q21" s="2">
        <f ca="1"/>
        <v>165</v>
      </c>
      <c r="R21" s="2">
        <f ca="1"/>
        <v>134</v>
      </c>
      <c r="S21" s="2">
        <f ca="1"/>
        <v>104</v>
      </c>
      <c r="T21" s="2">
        <f ca="1"/>
        <v>82</v>
      </c>
      <c r="U21" s="2">
        <f ca="1"/>
        <v>85</v>
      </c>
      <c r="V21" s="2">
        <f ca="1"/>
        <v>85</v>
      </c>
      <c r="W21" s="2">
        <f ca="1"/>
        <v>80</v>
      </c>
      <c r="X21" s="2">
        <f ca="1"/>
        <v>72</v>
      </c>
      <c r="Y21" s="2">
        <f ca="1"/>
        <v>64</v>
      </c>
      <c r="Z21" s="2">
        <f ca="1"/>
        <v>141</v>
      </c>
      <c r="AB21" s="20">
        <f ca="1"/>
        <v>0.2</v>
      </c>
      <c r="AC21" s="20">
        <f ca="1"/>
        <v>-0.8</v>
      </c>
      <c r="AD21" s="20">
        <f ca="1"/>
        <v>0.7</v>
      </c>
      <c r="AE21" s="20">
        <f ca="1"/>
        <v>-0.9</v>
      </c>
      <c r="AF21" s="20">
        <f ca="1"/>
        <v>-0.1</v>
      </c>
      <c r="AG21" s="20">
        <f ca="1"/>
        <v>0.9</v>
      </c>
      <c r="AH21" s="20">
        <f ca="1"/>
        <v>0.5</v>
      </c>
      <c r="AI21" s="20">
        <f ca="1"/>
        <v>-0.7</v>
      </c>
      <c r="AJ21" s="20">
        <f ca="1"/>
        <v>-0.4</v>
      </c>
      <c r="AK21" s="20">
        <f ca="1"/>
        <v>0.1</v>
      </c>
      <c r="AM21" s="20">
        <f ca="1"/>
        <v>-0.1</v>
      </c>
      <c r="AO21" s="20">
        <f ca="1"/>
        <v>0</v>
      </c>
      <c r="BC21" s="2" t="s">
        <v>114</v>
      </c>
    </row>
    <row r="22" spans="6:56" ht="17" customHeight="1" x14ac:dyDescent="0.15">
      <c r="F22" s="4">
        <v>18</v>
      </c>
      <c r="G22" s="2">
        <f ca="1"/>
        <v>184</v>
      </c>
      <c r="H22" s="2">
        <f ca="1"/>
        <v>132</v>
      </c>
      <c r="I22" s="2">
        <f ca="1"/>
        <v>65</v>
      </c>
      <c r="J22" s="2">
        <f ca="1"/>
        <v>77</v>
      </c>
      <c r="K22" s="2">
        <f ca="1"/>
        <v>86</v>
      </c>
      <c r="L22" s="2">
        <f ca="1"/>
        <v>82</v>
      </c>
      <c r="M22" s="2">
        <f ca="1"/>
        <v>83</v>
      </c>
      <c r="N22" s="2">
        <f ca="1"/>
        <v>92</v>
      </c>
      <c r="O22" s="2">
        <f ca="1"/>
        <v>173</v>
      </c>
      <c r="P22" s="2">
        <f ca="1"/>
        <v>210</v>
      </c>
      <c r="Q22" s="2">
        <f ca="1"/>
        <v>197</v>
      </c>
      <c r="R22" s="2">
        <f ca="1"/>
        <v>127</v>
      </c>
      <c r="S22" s="2">
        <f ca="1"/>
        <v>113</v>
      </c>
      <c r="T22" s="2">
        <f ca="1"/>
        <v>79</v>
      </c>
      <c r="U22" s="2">
        <f ca="1"/>
        <v>80</v>
      </c>
      <c r="V22" s="2">
        <f ca="1"/>
        <v>78</v>
      </c>
      <c r="W22" s="2">
        <f ca="1"/>
        <v>73</v>
      </c>
      <c r="X22" s="2">
        <f ca="1"/>
        <v>69</v>
      </c>
      <c r="Y22" s="2">
        <f ca="1"/>
        <v>101</v>
      </c>
      <c r="Z22" s="2">
        <f ca="1"/>
        <v>163</v>
      </c>
      <c r="AB22" s="20">
        <f ca="1"/>
        <v>-0.3</v>
      </c>
      <c r="AC22" s="20">
        <f ca="1"/>
        <v>0.5</v>
      </c>
      <c r="AD22" s="20">
        <f ca="1"/>
        <v>0.9</v>
      </c>
      <c r="AE22" s="20">
        <f ca="1"/>
        <v>-0.7</v>
      </c>
      <c r="AF22" s="20">
        <f ca="1"/>
        <v>-0.8</v>
      </c>
      <c r="AG22" s="20">
        <f ca="1"/>
        <v>0.8</v>
      </c>
      <c r="AH22" s="20">
        <f ca="1"/>
        <v>0.5</v>
      </c>
      <c r="AI22" s="20">
        <f ca="1"/>
        <v>0.1</v>
      </c>
      <c r="AJ22" s="20">
        <f ca="1"/>
        <v>0.1</v>
      </c>
      <c r="AK22" s="20">
        <f ca="1"/>
        <v>-0.2</v>
      </c>
      <c r="AM22" s="20">
        <f ca="1"/>
        <v>-0.5</v>
      </c>
      <c r="AO22" s="20">
        <f ca="1"/>
        <v>0</v>
      </c>
      <c r="BB22" s="158"/>
      <c r="BC22" s="167" t="s">
        <v>2</v>
      </c>
      <c r="BD22" s="159"/>
    </row>
    <row r="23" spans="6:56" ht="17" customHeight="1" x14ac:dyDescent="0.2">
      <c r="F23" s="4">
        <v>19</v>
      </c>
      <c r="G23" s="2">
        <f ca="1"/>
        <v>163</v>
      </c>
      <c r="H23" s="2">
        <f ca="1"/>
        <v>112</v>
      </c>
      <c r="I23" s="2">
        <f ca="1"/>
        <v>92</v>
      </c>
      <c r="J23" s="2">
        <f ca="1"/>
        <v>79</v>
      </c>
      <c r="K23" s="2">
        <f ca="1"/>
        <v>80</v>
      </c>
      <c r="L23" s="2">
        <f ca="1"/>
        <v>105</v>
      </c>
      <c r="M23" s="2">
        <f ca="1"/>
        <v>154</v>
      </c>
      <c r="N23" s="2">
        <f ca="1"/>
        <v>175</v>
      </c>
      <c r="O23" s="2">
        <f ca="1"/>
        <v>175</v>
      </c>
      <c r="P23" s="2">
        <f ca="1"/>
        <v>150</v>
      </c>
      <c r="Q23" s="2">
        <f ca="1"/>
        <v>168</v>
      </c>
      <c r="R23" s="2">
        <f ca="1"/>
        <v>140</v>
      </c>
      <c r="S23" s="2">
        <f ca="1"/>
        <v>163</v>
      </c>
      <c r="T23" s="2">
        <f ca="1"/>
        <v>148</v>
      </c>
      <c r="U23" s="2">
        <f ca="1"/>
        <v>116</v>
      </c>
      <c r="V23" s="2">
        <f ca="1"/>
        <v>79</v>
      </c>
      <c r="W23" s="2">
        <f ca="1"/>
        <v>102</v>
      </c>
      <c r="X23" s="2">
        <f ca="1"/>
        <v>90</v>
      </c>
      <c r="Y23" s="2">
        <f ca="1"/>
        <v>106</v>
      </c>
      <c r="Z23" s="2">
        <f ca="1"/>
        <v>104</v>
      </c>
      <c r="AB23" s="20">
        <f ca="1"/>
        <v>0.1</v>
      </c>
      <c r="AC23" s="20">
        <f ca="1"/>
        <v>-0.5</v>
      </c>
      <c r="AD23" s="20">
        <f ca="1"/>
        <v>-0.4</v>
      </c>
      <c r="AE23" s="20">
        <f ca="1"/>
        <v>0</v>
      </c>
      <c r="AF23" s="20">
        <f ca="1"/>
        <v>-0.1</v>
      </c>
      <c r="AG23" s="20">
        <f ca="1"/>
        <v>-0.7</v>
      </c>
      <c r="AH23" s="20">
        <f ca="1"/>
        <v>-0.6</v>
      </c>
      <c r="AI23" s="20">
        <f ca="1"/>
        <v>0.8</v>
      </c>
      <c r="AJ23" s="20">
        <f ca="1"/>
        <v>-0.9</v>
      </c>
      <c r="AK23" s="20">
        <f ca="1"/>
        <v>0.2</v>
      </c>
      <c r="AM23" s="20">
        <f ca="1"/>
        <v>-0.1</v>
      </c>
      <c r="AO23" s="20">
        <f ca="1"/>
        <v>0</v>
      </c>
      <c r="BA23" s="18" t="s">
        <v>79</v>
      </c>
      <c r="BB23" s="168"/>
      <c r="BC23" s="2" t="s">
        <v>114</v>
      </c>
      <c r="BD23" s="93"/>
    </row>
    <row r="24" spans="6:56" ht="17" customHeight="1" x14ac:dyDescent="0.2">
      <c r="F24" s="4">
        <v>20</v>
      </c>
      <c r="G24" s="2">
        <f ca="1"/>
        <v>179</v>
      </c>
      <c r="H24" s="2">
        <f ca="1"/>
        <v>85</v>
      </c>
      <c r="I24" s="2">
        <f ca="1"/>
        <v>80</v>
      </c>
      <c r="J24" s="2">
        <f ca="1"/>
        <v>94</v>
      </c>
      <c r="K24" s="2">
        <f ca="1"/>
        <v>120</v>
      </c>
      <c r="L24" s="2">
        <f ca="1"/>
        <v>128</v>
      </c>
      <c r="M24" s="2">
        <f ca="1"/>
        <v>173</v>
      </c>
      <c r="N24" s="2">
        <f ca="1"/>
        <v>179</v>
      </c>
      <c r="O24" s="2">
        <f ca="1"/>
        <v>146</v>
      </c>
      <c r="P24" s="2">
        <f ca="1"/>
        <v>108</v>
      </c>
      <c r="Q24" s="2">
        <f ca="1"/>
        <v>114</v>
      </c>
      <c r="R24" s="2">
        <f ca="1"/>
        <v>126</v>
      </c>
      <c r="S24" s="2">
        <f ca="1"/>
        <v>168</v>
      </c>
      <c r="T24" s="2">
        <f ca="1"/>
        <v>175</v>
      </c>
      <c r="U24" s="2">
        <f ca="1"/>
        <v>158</v>
      </c>
      <c r="V24" s="2">
        <f ca="1"/>
        <v>116</v>
      </c>
      <c r="W24" s="2">
        <f ca="1"/>
        <v>119</v>
      </c>
      <c r="X24" s="2">
        <f ca="1"/>
        <v>98</v>
      </c>
      <c r="Y24" s="2">
        <f ca="1"/>
        <v>88</v>
      </c>
      <c r="Z24" s="2">
        <f ca="1"/>
        <v>120</v>
      </c>
      <c r="AB24" s="20">
        <f ca="1"/>
        <v>-0.3</v>
      </c>
      <c r="AC24" s="20">
        <f ca="1"/>
        <v>-0.8</v>
      </c>
      <c r="AD24" s="20">
        <f ca="1"/>
        <v>-0.3</v>
      </c>
      <c r="AE24" s="20">
        <f ca="1"/>
        <v>-0.6</v>
      </c>
      <c r="AF24" s="20">
        <f ca="1"/>
        <v>0</v>
      </c>
      <c r="AG24" s="20">
        <f ca="1"/>
        <v>0</v>
      </c>
      <c r="AH24" s="20">
        <f ca="1"/>
        <v>0.1</v>
      </c>
      <c r="AI24" s="20">
        <f ca="1"/>
        <v>-0.2</v>
      </c>
      <c r="AJ24" s="20">
        <f ca="1"/>
        <v>0.1</v>
      </c>
      <c r="AK24" s="20">
        <f ca="1"/>
        <v>-0.4</v>
      </c>
      <c r="AM24" s="20">
        <f ca="1"/>
        <v>-0.7</v>
      </c>
      <c r="AO24" s="20">
        <f ca="1"/>
        <v>0</v>
      </c>
      <c r="BB24" s="160"/>
      <c r="BC24" s="161" t="s">
        <v>115</v>
      </c>
      <c r="BD24" s="162"/>
    </row>
    <row r="25" spans="6:56" ht="17" customHeight="1" x14ac:dyDescent="0.2">
      <c r="F25" s="4">
        <v>21</v>
      </c>
      <c r="G25" s="2">
        <f ca="1"/>
        <v>202</v>
      </c>
      <c r="H25" s="2">
        <f ca="1"/>
        <v>138</v>
      </c>
      <c r="I25" s="2">
        <f ca="1"/>
        <v>133</v>
      </c>
      <c r="J25" s="2">
        <f ca="1"/>
        <v>159</v>
      </c>
      <c r="K25" s="2">
        <f ca="1"/>
        <v>121</v>
      </c>
      <c r="L25" s="2">
        <f ca="1"/>
        <v>113</v>
      </c>
      <c r="M25" s="2">
        <f ca="1"/>
        <v>143</v>
      </c>
      <c r="N25" s="2">
        <f ca="1"/>
        <v>171</v>
      </c>
      <c r="O25" s="2">
        <f ca="1"/>
        <v>133</v>
      </c>
      <c r="P25" s="2">
        <f ca="1"/>
        <v>50</v>
      </c>
      <c r="Q25" s="2">
        <f ca="1"/>
        <v>36</v>
      </c>
      <c r="R25" s="2">
        <f ca="1"/>
        <v>89</v>
      </c>
      <c r="S25" s="2">
        <f ca="1"/>
        <v>142</v>
      </c>
      <c r="T25" s="2">
        <f ca="1"/>
        <v>170</v>
      </c>
      <c r="U25" s="2">
        <f ca="1"/>
        <v>130</v>
      </c>
      <c r="V25" s="2">
        <f ca="1"/>
        <v>110</v>
      </c>
      <c r="W25" s="2">
        <f ca="1"/>
        <v>128</v>
      </c>
      <c r="X25" s="2">
        <f ca="1"/>
        <v>161</v>
      </c>
      <c r="Y25" s="2">
        <f ca="1"/>
        <v>116</v>
      </c>
      <c r="Z25" s="2">
        <f ca="1"/>
        <v>138</v>
      </c>
      <c r="AB25" s="20">
        <f ca="1"/>
        <v>-0.3</v>
      </c>
      <c r="AC25" s="20">
        <f ca="1"/>
        <v>0.6</v>
      </c>
      <c r="AD25" s="20">
        <f ca="1"/>
        <v>0</v>
      </c>
      <c r="AE25" s="20">
        <f ca="1"/>
        <v>0.6</v>
      </c>
      <c r="AF25" s="20">
        <f ca="1"/>
        <v>0.3</v>
      </c>
      <c r="AG25" s="20">
        <f ca="1"/>
        <v>0.7</v>
      </c>
      <c r="AH25" s="20">
        <f ca="1"/>
        <v>1</v>
      </c>
      <c r="AI25" s="20">
        <f ca="1"/>
        <v>0.9</v>
      </c>
      <c r="AJ25" s="20">
        <f ca="1"/>
        <v>0</v>
      </c>
      <c r="AK25" s="20">
        <f ca="1"/>
        <v>-0.5</v>
      </c>
      <c r="AM25" s="20">
        <f ca="1"/>
        <v>-0.3</v>
      </c>
      <c r="AO25" s="20">
        <f ca="1"/>
        <v>0</v>
      </c>
      <c r="BC25" s="2" t="s">
        <v>114</v>
      </c>
    </row>
    <row r="26" spans="6:56" ht="17" customHeight="1" x14ac:dyDescent="0.15">
      <c r="F26" s="4">
        <v>22</v>
      </c>
      <c r="G26" s="2">
        <f ca="1"/>
        <v>203</v>
      </c>
      <c r="H26" s="2">
        <f ca="1"/>
        <v>143</v>
      </c>
      <c r="I26" s="2">
        <f ca="1"/>
        <v>114</v>
      </c>
      <c r="J26" s="2">
        <f ca="1"/>
        <v>120</v>
      </c>
      <c r="K26" s="2">
        <f ca="1"/>
        <v>112</v>
      </c>
      <c r="L26" s="2">
        <f ca="1"/>
        <v>114</v>
      </c>
      <c r="M26" s="2">
        <f ca="1"/>
        <v>131</v>
      </c>
      <c r="N26" s="2">
        <f ca="1"/>
        <v>138</v>
      </c>
      <c r="O26" s="2">
        <f ca="1"/>
        <v>141</v>
      </c>
      <c r="P26" s="2">
        <f ca="1"/>
        <v>41</v>
      </c>
      <c r="Q26" s="2">
        <f ca="1"/>
        <v>6</v>
      </c>
      <c r="R26" s="2">
        <f ca="1"/>
        <v>76</v>
      </c>
      <c r="S26" s="2">
        <f ca="1"/>
        <v>153</v>
      </c>
      <c r="T26" s="2">
        <f ca="1"/>
        <v>136</v>
      </c>
      <c r="U26" s="2">
        <f ca="1"/>
        <v>121</v>
      </c>
      <c r="V26" s="2">
        <f ca="1"/>
        <v>105</v>
      </c>
      <c r="W26" s="2">
        <f ca="1"/>
        <v>112</v>
      </c>
      <c r="X26" s="2">
        <f ca="1"/>
        <v>118</v>
      </c>
      <c r="Y26" s="2">
        <f ca="1"/>
        <v>120</v>
      </c>
      <c r="Z26" s="2">
        <f ca="1"/>
        <v>153</v>
      </c>
      <c r="AO26" s="2">
        <f ca="1"/>
        <v>1</v>
      </c>
      <c r="BB26" s="158"/>
      <c r="BC26" s="167" t="s">
        <v>2</v>
      </c>
      <c r="BD26" s="159"/>
    </row>
    <row r="27" spans="6:56" ht="17" customHeight="1" x14ac:dyDescent="0.2">
      <c r="F27" s="4">
        <v>23</v>
      </c>
      <c r="G27" s="2">
        <f ca="1"/>
        <v>166</v>
      </c>
      <c r="H27" s="2">
        <f ca="1"/>
        <v>145</v>
      </c>
      <c r="I27" s="2">
        <f ca="1"/>
        <v>127</v>
      </c>
      <c r="J27" s="2">
        <f ca="1"/>
        <v>101</v>
      </c>
      <c r="K27" s="2">
        <f ca="1"/>
        <v>130</v>
      </c>
      <c r="L27" s="2">
        <f ca="1"/>
        <v>116</v>
      </c>
      <c r="M27" s="2">
        <f ca="1"/>
        <v>107</v>
      </c>
      <c r="N27" s="2">
        <f ca="1"/>
        <v>120</v>
      </c>
      <c r="O27" s="2">
        <f ca="1"/>
        <v>147</v>
      </c>
      <c r="P27" s="2">
        <f ca="1"/>
        <v>40</v>
      </c>
      <c r="Q27" s="2">
        <f ca="1"/>
        <v>6</v>
      </c>
      <c r="R27" s="2">
        <f ca="1"/>
        <v>67</v>
      </c>
      <c r="S27" s="2">
        <f ca="1"/>
        <v>154</v>
      </c>
      <c r="T27" s="2">
        <f ca="1"/>
        <v>111</v>
      </c>
      <c r="U27" s="2">
        <f ca="1"/>
        <v>107</v>
      </c>
      <c r="V27" s="2">
        <f ca="1"/>
        <v>119</v>
      </c>
      <c r="W27" s="2">
        <f ca="1"/>
        <v>129</v>
      </c>
      <c r="X27" s="2">
        <f ca="1"/>
        <v>85</v>
      </c>
      <c r="Y27" s="2">
        <f ca="1"/>
        <v>124</v>
      </c>
      <c r="Z27" s="2">
        <f ca="1"/>
        <v>135</v>
      </c>
      <c r="AB27" s="15" t="s">
        <v>82</v>
      </c>
      <c r="AC27" s="15"/>
      <c r="BA27" s="18" t="s">
        <v>82</v>
      </c>
      <c r="BB27" s="168"/>
      <c r="BC27" s="2" t="s">
        <v>114</v>
      </c>
      <c r="BD27" s="93"/>
    </row>
    <row r="28" spans="6:56" ht="17" customHeight="1" x14ac:dyDescent="0.2">
      <c r="F28" s="4">
        <v>24</v>
      </c>
      <c r="G28" s="2">
        <f ca="1"/>
        <v>82</v>
      </c>
      <c r="H28" s="2">
        <f ca="1"/>
        <v>80</v>
      </c>
      <c r="I28" s="2">
        <f ca="1"/>
        <v>82</v>
      </c>
      <c r="J28" s="2">
        <f ca="1"/>
        <v>57</v>
      </c>
      <c r="K28" s="2">
        <f ca="1"/>
        <v>91</v>
      </c>
      <c r="L28" s="2">
        <f ca="1"/>
        <v>83</v>
      </c>
      <c r="M28" s="2">
        <f ca="1"/>
        <v>75</v>
      </c>
      <c r="N28" s="2">
        <f ca="1"/>
        <v>85</v>
      </c>
      <c r="O28" s="2">
        <f ca="1"/>
        <v>94</v>
      </c>
      <c r="P28" s="2">
        <f ca="1"/>
        <v>58</v>
      </c>
      <c r="Q28" s="2">
        <f ca="1"/>
        <v>35</v>
      </c>
      <c r="R28" s="2">
        <f ca="1"/>
        <v>62</v>
      </c>
      <c r="S28" s="2">
        <f ca="1"/>
        <v>96</v>
      </c>
      <c r="T28" s="2">
        <f ca="1"/>
        <v>76</v>
      </c>
      <c r="U28" s="2">
        <f ca="1"/>
        <v>72</v>
      </c>
      <c r="V28" s="2">
        <f ca="1"/>
        <v>79</v>
      </c>
      <c r="W28" s="2">
        <f ca="1"/>
        <v>76</v>
      </c>
      <c r="X28" s="2">
        <f ca="1"/>
        <v>56</v>
      </c>
      <c r="Y28" s="2">
        <f ca="1"/>
        <v>65</v>
      </c>
      <c r="Z28" s="2">
        <f ca="1"/>
        <v>72</v>
      </c>
      <c r="AF28" s="2" t="s">
        <v>0</v>
      </c>
      <c r="AM28" s="2" t="s">
        <v>1</v>
      </c>
      <c r="AO28" s="2" t="s">
        <v>2</v>
      </c>
      <c r="AQ28" s="2" t="s">
        <v>115</v>
      </c>
      <c r="BB28" s="160"/>
      <c r="BC28" s="161" t="s">
        <v>115</v>
      </c>
      <c r="BD28" s="162"/>
    </row>
    <row r="29" spans="6:56" ht="17" customHeight="1" x14ac:dyDescent="0.2">
      <c r="AF29" s="20" cm="1">
        <f t="array" aca="1" ref="AF29:AM33" ca="1">ROUND(_xlfn.RANDARRAY(5, COUNT(AO19:AO26), -1,1),1)</f>
        <v>0</v>
      </c>
      <c r="AG29" s="20">
        <f ca="1"/>
        <v>-0.3</v>
      </c>
      <c r="AH29" s="20">
        <f ca="1"/>
        <v>0.5</v>
      </c>
      <c r="AI29" s="20">
        <f ca="1"/>
        <v>-1</v>
      </c>
      <c r="AJ29" s="20">
        <f ca="1"/>
        <v>-0.6</v>
      </c>
      <c r="AK29" s="20">
        <f ca="1"/>
        <v>0.1</v>
      </c>
      <c r="AL29" s="20">
        <f ca="1"/>
        <v>0.2</v>
      </c>
      <c r="AM29" s="20">
        <f ca="1"/>
        <v>-0.5</v>
      </c>
      <c r="AO29" s="20" cm="1">
        <f t="array" aca="1" ref="AO29:AO33" ca="1">ROUND(MMULT(_xlfn.ANCHORARRAY(AF29),AO19:AO26), 1)</f>
        <v>-0.5</v>
      </c>
      <c r="AQ29" s="20" cm="1">
        <f t="array" aca="1" ref="AQ29:AQ34" ca="1">_xlfn.VSTACK(IF(_xlfn.ANCHORARRAY(AO29)&gt;0,_xlfn.ANCHORARRAY( AO29), 0),1)</f>
        <v>0</v>
      </c>
      <c r="BC29" s="2" t="s">
        <v>114</v>
      </c>
    </row>
    <row r="30" spans="6:56" ht="17" customHeight="1" x14ac:dyDescent="0.15">
      <c r="AF30" s="20">
        <f ca="1"/>
        <v>0.7</v>
      </c>
      <c r="AG30" s="20">
        <f ca="1"/>
        <v>0.8</v>
      </c>
      <c r="AH30" s="20">
        <f ca="1"/>
        <v>-0.3</v>
      </c>
      <c r="AI30" s="20">
        <f ca="1"/>
        <v>0.1</v>
      </c>
      <c r="AJ30" s="20">
        <f ca="1"/>
        <v>0.1</v>
      </c>
      <c r="AK30" s="20">
        <f ca="1"/>
        <v>0.2</v>
      </c>
      <c r="AL30" s="20">
        <f ca="1"/>
        <v>0</v>
      </c>
      <c r="AM30" s="20">
        <f ca="1"/>
        <v>0.9</v>
      </c>
      <c r="AO30" s="20">
        <f ca="1"/>
        <v>1.8</v>
      </c>
      <c r="AQ30" s="20">
        <f ca="1"/>
        <v>1.8</v>
      </c>
      <c r="BB30" s="158"/>
      <c r="BC30" s="167" t="s">
        <v>2</v>
      </c>
      <c r="BD30" s="159"/>
    </row>
    <row r="31" spans="6:56" ht="17" customHeight="1" x14ac:dyDescent="0.2">
      <c r="AF31" s="20">
        <f ca="1"/>
        <v>-0.8</v>
      </c>
      <c r="AG31" s="20">
        <f ca="1"/>
        <v>-0.6</v>
      </c>
      <c r="AH31" s="20">
        <f ca="1"/>
        <v>-0.2</v>
      </c>
      <c r="AI31" s="20">
        <f ca="1"/>
        <v>-0.2</v>
      </c>
      <c r="AJ31" s="20">
        <f ca="1"/>
        <v>-0.7</v>
      </c>
      <c r="AK31" s="20">
        <f ca="1"/>
        <v>-0.8</v>
      </c>
      <c r="AL31" s="20">
        <f ca="1"/>
        <v>0.7</v>
      </c>
      <c r="AM31" s="20">
        <f ca="1"/>
        <v>-1</v>
      </c>
      <c r="AO31" s="20">
        <f ca="1"/>
        <v>-2</v>
      </c>
      <c r="AQ31" s="20">
        <f ca="1"/>
        <v>0</v>
      </c>
      <c r="BA31" s="169" t="s">
        <v>84</v>
      </c>
      <c r="BB31" s="168"/>
      <c r="BC31" s="2" t="s">
        <v>114</v>
      </c>
      <c r="BD31" s="93"/>
    </row>
    <row r="32" spans="6:56" ht="17" customHeight="1" x14ac:dyDescent="0.2">
      <c r="AF32" s="20">
        <f ca="1"/>
        <v>0.7</v>
      </c>
      <c r="AG32" s="20">
        <f ca="1"/>
        <v>0.4</v>
      </c>
      <c r="AH32" s="20">
        <f ca="1"/>
        <v>-0.7</v>
      </c>
      <c r="AI32" s="20">
        <f ca="1"/>
        <v>0.8</v>
      </c>
      <c r="AJ32" s="20">
        <f ca="1"/>
        <v>0.2</v>
      </c>
      <c r="AK32" s="20">
        <f ca="1"/>
        <v>0.6</v>
      </c>
      <c r="AL32" s="20">
        <f ca="1"/>
        <v>0.9</v>
      </c>
      <c r="AM32" s="20">
        <f ca="1"/>
        <v>0.2</v>
      </c>
      <c r="AO32" s="20">
        <f ca="1"/>
        <v>1.1000000000000001</v>
      </c>
      <c r="AQ32" s="20">
        <f ca="1"/>
        <v>1.1000000000000001</v>
      </c>
      <c r="BB32" s="160"/>
      <c r="BC32" s="161" t="s">
        <v>115</v>
      </c>
      <c r="BD32" s="162"/>
    </row>
    <row r="33" spans="28:55" ht="17" customHeight="1" x14ac:dyDescent="0.2">
      <c r="AF33" s="20">
        <f ca="1"/>
        <v>-0.7</v>
      </c>
      <c r="AG33" s="20">
        <f ca="1"/>
        <v>-0.9</v>
      </c>
      <c r="AH33" s="20">
        <f ca="1"/>
        <v>0.4</v>
      </c>
      <c r="AI33" s="20">
        <f ca="1"/>
        <v>0.3</v>
      </c>
      <c r="AJ33" s="20">
        <f ca="1"/>
        <v>0.9</v>
      </c>
      <c r="AK33" s="20">
        <f ca="1"/>
        <v>0.6</v>
      </c>
      <c r="AL33" s="20">
        <f ca="1"/>
        <v>0.8</v>
      </c>
      <c r="AM33" s="20">
        <f ca="1"/>
        <v>-0.3</v>
      </c>
      <c r="AO33" s="20">
        <f ca="1"/>
        <v>-1.2</v>
      </c>
      <c r="AQ33" s="20">
        <f ca="1"/>
        <v>0</v>
      </c>
      <c r="BC33" s="2" t="s">
        <v>114</v>
      </c>
    </row>
    <row r="34" spans="28:55" ht="17" customHeight="1" x14ac:dyDescent="0.2">
      <c r="AQ34" s="2">
        <f ca="1"/>
        <v>1</v>
      </c>
      <c r="BC34" s="2" t="s">
        <v>5</v>
      </c>
    </row>
    <row r="35" spans="28:55" ht="17" customHeight="1" x14ac:dyDescent="0.2">
      <c r="AB35" s="135" t="s">
        <v>84</v>
      </c>
      <c r="AC35" s="15"/>
    </row>
    <row r="36" spans="28:55" ht="17" customHeight="1" x14ac:dyDescent="0.2">
      <c r="AJ36" s="2" t="s">
        <v>0</v>
      </c>
      <c r="AO36" s="2" t="s">
        <v>1</v>
      </c>
      <c r="AQ36" s="2" t="s">
        <v>2</v>
      </c>
      <c r="AS36" s="2" t="s">
        <v>115</v>
      </c>
      <c r="AU36" s="2" t="s">
        <v>92</v>
      </c>
      <c r="AW36" s="2" t="s">
        <v>5</v>
      </c>
    </row>
    <row r="37" spans="28:55" ht="17" customHeight="1" x14ac:dyDescent="0.2">
      <c r="AJ37" s="20" cm="1">
        <f t="array" aca="1" ref="AJ37:AO40" ca="1">ROUND(_xlfn.RANDARRAY(COUNT([0]!Classes), COUNT(AQ29:AQ34),-1,1),1)</f>
        <v>0.6</v>
      </c>
      <c r="AK37" s="20">
        <f ca="1"/>
        <v>0.3</v>
      </c>
      <c r="AL37" s="20">
        <f ca="1"/>
        <v>0.6</v>
      </c>
      <c r="AM37" s="20">
        <f ca="1"/>
        <v>-0.4</v>
      </c>
      <c r="AN37" s="20">
        <f ca="1"/>
        <v>-0.1</v>
      </c>
      <c r="AO37" s="20">
        <f ca="1"/>
        <v>-0.7</v>
      </c>
      <c r="AQ37" s="20" cm="1">
        <f t="array" aca="1" ref="AQ37:AQ40" ca="1">ROUND(MMULT(_xlfn.ANCHORARRAY(AJ37),AQ29:AQ34),2)</f>
        <v>-0.6</v>
      </c>
      <c r="AS37" s="20" cm="1">
        <f t="array" aca="1" ref="AS37:AS40" ca="1">EXP(_xlfn.ANCHORARRAY(AQ37))/SUM(EXP(_xlfn.ANCHORARRAY(AQ37)))</f>
        <v>0.14147447671272562</v>
      </c>
      <c r="AU37" s="20" cm="1">
        <f t="array" ref="AU37:AU40">_xlfn.ANCHORARRAY(E10)</f>
        <v>0</v>
      </c>
      <c r="AW37" s="85" cm="1">
        <f t="array" aca="1" ref="AW37" ca="1">-SUMPRODUCT(_xlfn.ANCHORARRAY(AU37), LN(_xlfn.ANCHORARRAY(AS37)))</f>
        <v>0.77563595475716951</v>
      </c>
    </row>
    <row r="38" spans="28:55" ht="17" customHeight="1" x14ac:dyDescent="0.2">
      <c r="AJ38" s="20">
        <f ca="1"/>
        <v>0.7</v>
      </c>
      <c r="AK38" s="20">
        <f ca="1"/>
        <v>-0.7</v>
      </c>
      <c r="AL38" s="20">
        <f ca="1"/>
        <v>-0.8</v>
      </c>
      <c r="AM38" s="20">
        <f ca="1"/>
        <v>0.7</v>
      </c>
      <c r="AN38" s="20">
        <f ca="1"/>
        <v>-0.6</v>
      </c>
      <c r="AO38" s="20">
        <f ca="1"/>
        <v>-0.1</v>
      </c>
      <c r="AQ38" s="20">
        <f ca="1"/>
        <v>-0.59</v>
      </c>
      <c r="AS38" s="20">
        <f ca="1"/>
        <v>0.14289631884183376</v>
      </c>
      <c r="AU38" s="20">
        <v>0</v>
      </c>
    </row>
    <row r="39" spans="28:55" ht="17" customHeight="1" x14ac:dyDescent="0.2">
      <c r="AJ39" s="20">
        <f ca="1"/>
        <v>0.9</v>
      </c>
      <c r="AK39" s="20">
        <f ca="1"/>
        <v>0.2</v>
      </c>
      <c r="AL39" s="20">
        <f ca="1"/>
        <v>0</v>
      </c>
      <c r="AM39" s="20">
        <f ca="1"/>
        <v>-0.7</v>
      </c>
      <c r="AN39" s="20">
        <f ca="1"/>
        <v>-0.1</v>
      </c>
      <c r="AO39" s="20">
        <f ca="1"/>
        <v>0.4</v>
      </c>
      <c r="AQ39" s="20">
        <f ca="1"/>
        <v>-0.01</v>
      </c>
      <c r="AS39" s="20">
        <f ca="1"/>
        <v>0.25521831706423093</v>
      </c>
      <c r="AU39" s="20">
        <v>0</v>
      </c>
    </row>
    <row r="40" spans="28:55" ht="17" customHeight="1" x14ac:dyDescent="0.2">
      <c r="AJ40" s="20">
        <f ca="1"/>
        <v>-0.9</v>
      </c>
      <c r="AK40" s="20">
        <f ca="1"/>
        <v>0.6</v>
      </c>
      <c r="AL40" s="20">
        <f ca="1"/>
        <v>0.7</v>
      </c>
      <c r="AM40" s="20">
        <f ca="1"/>
        <v>0</v>
      </c>
      <c r="AN40" s="20">
        <f ca="1"/>
        <v>-0.8</v>
      </c>
      <c r="AO40" s="20">
        <f ca="1"/>
        <v>-0.5</v>
      </c>
      <c r="AQ40" s="20">
        <f ca="1"/>
        <v>0.57999999999999996</v>
      </c>
      <c r="AS40" s="20">
        <f ca="1"/>
        <v>0.46041088738120978</v>
      </c>
      <c r="AU40" s="20">
        <v>1</v>
      </c>
    </row>
  </sheetData>
  <conditionalFormatting sqref="E10:E13">
    <cfRule type="dataBar" priority="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{8CEC5AB2-6CA0-2A40-BDED-50A7603E1FBD}</x14:id>
        </ext>
      </extLst>
    </cfRule>
  </conditionalFormatting>
  <conditionalFormatting sqref="AB19:AK25">
    <cfRule type="colorScale" priority="8">
      <colorScale>
        <cfvo type="num" val="-1"/>
        <cfvo type="num" val="1"/>
        <color rgb="FFFF7128"/>
        <color rgb="FFFFEF9C"/>
      </colorScale>
    </cfRule>
  </conditionalFormatting>
  <conditionalFormatting sqref="AE7:AG9 G5:Z28 G42:Z1048576">
    <cfRule type="colorScale" priority="15">
      <colorScale>
        <cfvo type="num" val="0"/>
        <cfvo type="num" val="255"/>
        <color theme="1" tint="0.249977111117893"/>
        <color theme="0"/>
      </colorScale>
    </cfRule>
  </conditionalFormatting>
  <conditionalFormatting sqref="AF29:AM33">
    <cfRule type="colorScale" priority="7">
      <colorScale>
        <cfvo type="num" val="-1"/>
        <cfvo type="num" val="1"/>
        <color rgb="FFFF7128"/>
        <color rgb="FFFFEF9C"/>
      </colorScale>
    </cfRule>
  </conditionalFormatting>
  <conditionalFormatting sqref="AI7:AK9 AM7:AM16">
    <cfRule type="colorScale" priority="14">
      <colorScale>
        <cfvo type="num" val="-1"/>
        <cfvo type="num" val="1"/>
        <color theme="1" tint="0.249977111117893"/>
        <color theme="0"/>
      </colorScale>
    </cfRule>
  </conditionalFormatting>
  <conditionalFormatting sqref="AJ37:AO40">
    <cfRule type="colorScale" priority="13">
      <colorScale>
        <cfvo type="num" val="-1"/>
        <cfvo type="num" val="1"/>
        <color rgb="FFFF7128"/>
        <color rgb="FFFFEF9C"/>
      </colorScale>
    </cfRule>
  </conditionalFormatting>
  <conditionalFormatting sqref="AM19:AM25">
    <cfRule type="colorScale" priority="5">
      <colorScale>
        <cfvo type="min"/>
        <cfvo type="percentile" val="50"/>
        <cfvo type="max"/>
        <color rgb="FFF8696B"/>
        <color rgb="FFFCFCFF"/>
        <color rgb="FF5A8AC6"/>
      </colorScale>
    </cfRule>
    <cfRule type="colorScale" priority="6">
      <colorScale>
        <cfvo type="num" val="-1"/>
        <cfvo type="num" val="1"/>
        <color rgb="FFFF7128"/>
        <color rgb="FFFFEF9C"/>
      </colorScale>
    </cfRule>
  </conditionalFormatting>
  <conditionalFormatting sqref="AO19:AO25">
    <cfRule type="colorScale" priority="3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O29:AO33">
    <cfRule type="colorScale" priority="4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Q29:AQ33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Q37:AQ40">
    <cfRule type="colorScale" priority="10">
      <colorScale>
        <cfvo type="num" val="-1"/>
        <cfvo type="num" val="1"/>
        <color rgb="FFFF7128"/>
        <color rgb="FFFFEF9C"/>
      </colorScale>
    </cfRule>
  </conditionalFormatting>
  <conditionalFormatting sqref="AS29:AS33">
    <cfRule type="colorScale" priority="2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S37:AS40">
    <cfRule type="dataBar" priority="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{45F15788-D1E4-BD47-84BF-CD5CC865609B}</x14:id>
        </ext>
      </extLst>
    </cfRule>
  </conditionalFormatting>
  <conditionalFormatting sqref="AU37:AU40">
    <cfRule type="dataBar" priority="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{A421DC03-03A5-ED4D-8D01-41107447848E}</x14:id>
        </ext>
      </extLst>
    </cfRule>
  </conditionalFormatting>
  <dataValidations count="2">
    <dataValidation type="list" allowBlank="1" showInputMessage="1" showErrorMessage="1" sqref="E6" xr:uid="{BB547A5C-C200-3C46-BF77-AE0187EE832E}">
      <formula1>Classes</formula1>
    </dataValidation>
    <dataValidation type="list" allowBlank="1" showInputMessage="1" showErrorMessage="1" sqref="E7" xr:uid="{B010F57D-8C0E-2B41-9209-58E2703EE56C}">
      <formula1>Samples</formula1>
    </dataValidation>
  </dataValidations>
  <pageMargins left="0.7" right="0.7" top="0.75" bottom="0.75" header="0.3" footer="0.3"/>
  <pageSetup orientation="portrait" horizontalDpi="0" verticalDpi="0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CEC5AB2-6CA0-2A40-BDED-50A7603E1FB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E10:E13</xm:sqref>
        </x14:conditionalFormatting>
        <x14:conditionalFormatting xmlns:xm="http://schemas.microsoft.com/office/excel/2006/main">
          <x14:cfRule type="dataBar" id="{45F15788-D1E4-BD47-84BF-CD5CC865609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AS37:AS40</xm:sqref>
        </x14:conditionalFormatting>
        <x14:conditionalFormatting xmlns:xm="http://schemas.microsoft.com/office/excel/2006/main">
          <x14:cfRule type="dataBar" id="{A421DC03-03A5-ED4D-8D01-41107447848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AU37:AU40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599BFC-946B-0C49-939C-0474FFB128D1}">
  <sheetPr>
    <tabColor theme="8" tint="-0.249977111117893"/>
  </sheetPr>
  <dimension ref="A2:BD46"/>
  <sheetViews>
    <sheetView showGridLines="0" showRowColHeaders="0" topLeftCell="W23" zoomScale="109" zoomScaleNormal="100" workbookViewId="0">
      <selection activeCell="AP43" sqref="AP43"/>
    </sheetView>
  </sheetViews>
  <sheetFormatPr baseColWidth="10" defaultColWidth="4.1640625" defaultRowHeight="17" customHeight="1" x14ac:dyDescent="0.2"/>
  <cols>
    <col min="1" max="3" width="4.1640625" style="2"/>
    <col min="4" max="4" width="4.1640625" style="16"/>
    <col min="5" max="6" width="4.1640625" style="4"/>
    <col min="7" max="16384" width="4.1640625" style="2"/>
  </cols>
  <sheetData>
    <row r="2" spans="1:56" s="73" customFormat="1" ht="17" customHeight="1" x14ac:dyDescent="0.2">
      <c r="A2" s="148"/>
      <c r="B2" s="51" t="s">
        <v>37</v>
      </c>
      <c r="C2" s="51" t="s">
        <v>36</v>
      </c>
      <c r="D2" s="51" t="s">
        <v>14</v>
      </c>
      <c r="E2" s="51" t="s">
        <v>35</v>
      </c>
      <c r="F2" s="51" t="s">
        <v>51</v>
      </c>
      <c r="G2" s="51" t="s">
        <v>52</v>
      </c>
      <c r="H2" s="51" t="s">
        <v>38</v>
      </c>
      <c r="I2" s="51" t="s">
        <v>51</v>
      </c>
      <c r="J2" s="22"/>
      <c r="K2" s="22"/>
    </row>
    <row r="4" spans="1:56" ht="17" customHeight="1" x14ac:dyDescent="0.2">
      <c r="C4" s="52"/>
      <c r="G4" s="2">
        <v>1</v>
      </c>
      <c r="H4" s="2">
        <v>2</v>
      </c>
      <c r="I4" s="2">
        <v>3</v>
      </c>
      <c r="J4" s="2">
        <v>4</v>
      </c>
      <c r="K4" s="2">
        <v>5</v>
      </c>
      <c r="L4" s="2">
        <v>6</v>
      </c>
      <c r="M4" s="2">
        <v>7</v>
      </c>
      <c r="N4" s="2">
        <v>8</v>
      </c>
      <c r="O4" s="2">
        <v>9</v>
      </c>
      <c r="P4" s="2">
        <v>10</v>
      </c>
      <c r="Q4" s="2">
        <v>11</v>
      </c>
      <c r="R4" s="2">
        <v>12</v>
      </c>
      <c r="S4" s="2">
        <v>13</v>
      </c>
      <c r="T4" s="2">
        <v>14</v>
      </c>
      <c r="U4" s="2">
        <v>15</v>
      </c>
      <c r="V4" s="2">
        <v>16</v>
      </c>
      <c r="W4" s="2">
        <v>17</v>
      </c>
      <c r="X4" s="2">
        <v>18</v>
      </c>
      <c r="Y4" s="2">
        <v>19</v>
      </c>
      <c r="Z4" s="2">
        <v>20</v>
      </c>
      <c r="AE4" s="2" t="s">
        <v>4</v>
      </c>
      <c r="AI4" s="2" t="s">
        <v>7</v>
      </c>
      <c r="AM4" s="2" t="s">
        <v>6</v>
      </c>
    </row>
    <row r="5" spans="1:56" ht="17" customHeight="1" x14ac:dyDescent="0.2">
      <c r="F5" s="4">
        <v>1</v>
      </c>
      <c r="G5" s="2" cm="1">
        <f t="array" aca="1" ref="G5:Z28" ca="1">OFFSET('Dataset-Tumor'!D5, 24*(E6-1), 20*(E7-1), 24, 20)</f>
        <v>2</v>
      </c>
      <c r="H5" s="2">
        <f ca="1"/>
        <v>2</v>
      </c>
      <c r="I5" s="2">
        <f ca="1"/>
        <v>2</v>
      </c>
      <c r="J5" s="2">
        <f ca="1"/>
        <v>2</v>
      </c>
      <c r="K5" s="2">
        <f ca="1"/>
        <v>2</v>
      </c>
      <c r="L5" s="2">
        <f ca="1"/>
        <v>2</v>
      </c>
      <c r="M5" s="2">
        <f ca="1"/>
        <v>2</v>
      </c>
      <c r="N5" s="2">
        <f ca="1"/>
        <v>2</v>
      </c>
      <c r="O5" s="2">
        <f ca="1"/>
        <v>2</v>
      </c>
      <c r="P5" s="2">
        <f ca="1"/>
        <v>2</v>
      </c>
      <c r="Q5" s="2">
        <f ca="1"/>
        <v>2</v>
      </c>
      <c r="R5" s="2">
        <f ca="1"/>
        <v>2</v>
      </c>
      <c r="S5" s="2">
        <f ca="1"/>
        <v>2</v>
      </c>
      <c r="T5" s="2">
        <f ca="1"/>
        <v>2</v>
      </c>
      <c r="U5" s="2">
        <f ca="1"/>
        <v>2</v>
      </c>
      <c r="V5" s="2">
        <f ca="1"/>
        <v>2</v>
      </c>
      <c r="W5" s="2">
        <f ca="1"/>
        <v>2</v>
      </c>
      <c r="X5" s="2">
        <f ca="1"/>
        <v>2</v>
      </c>
      <c r="Y5" s="2">
        <f ca="1"/>
        <v>2</v>
      </c>
      <c r="Z5" s="2">
        <f ca="1"/>
        <v>2</v>
      </c>
      <c r="AE5" s="21" cm="1">
        <f t="array" aca="1" ref="AE5:AG7" ca="1">N14:P16</f>
        <v>74</v>
      </c>
      <c r="AF5" s="21">
        <f ca="1"/>
        <v>72</v>
      </c>
      <c r="AG5" s="21">
        <f ca="1"/>
        <v>69</v>
      </c>
      <c r="AI5" s="21" cm="1">
        <f t="array" aca="1" ref="AI5:AK7" ca="1">ROUND((_xlfn.ANCHORARRAY(AE5)-127.5)/127.5,1)</f>
        <v>-0.4</v>
      </c>
      <c r="AJ5" s="21">
        <f ca="1"/>
        <v>-0.4</v>
      </c>
      <c r="AK5" s="21">
        <f ca="1"/>
        <v>-0.5</v>
      </c>
      <c r="AM5" s="21" cm="1">
        <f t="array" aca="1" ref="AM5:AM13" ca="1">ROUND(_xlfn.TOCOL(_xlfn.ANCHORARRAY(AI5)),2)</f>
        <v>-0.4</v>
      </c>
    </row>
    <row r="6" spans="1:56" ht="17" customHeight="1" x14ac:dyDescent="0.2">
      <c r="D6" s="16" t="s">
        <v>25</v>
      </c>
      <c r="E6" s="49">
        <v>1</v>
      </c>
      <c r="F6" s="4">
        <v>2</v>
      </c>
      <c r="G6" s="2">
        <f ca="1"/>
        <v>2</v>
      </c>
      <c r="H6" s="2">
        <f ca="1"/>
        <v>2</v>
      </c>
      <c r="I6" s="2">
        <f ca="1"/>
        <v>2</v>
      </c>
      <c r="J6" s="2">
        <f ca="1"/>
        <v>2</v>
      </c>
      <c r="K6" s="2">
        <f ca="1"/>
        <v>2</v>
      </c>
      <c r="L6" s="2">
        <f ca="1"/>
        <v>2</v>
      </c>
      <c r="M6" s="2">
        <f ca="1"/>
        <v>1</v>
      </c>
      <c r="N6" s="2">
        <f ca="1"/>
        <v>0</v>
      </c>
      <c r="O6" s="2">
        <f ca="1"/>
        <v>0</v>
      </c>
      <c r="P6" s="2">
        <f ca="1"/>
        <v>0</v>
      </c>
      <c r="Q6" s="2">
        <f ca="1"/>
        <v>0</v>
      </c>
      <c r="R6" s="2">
        <f ca="1"/>
        <v>0</v>
      </c>
      <c r="S6" s="2">
        <f ca="1"/>
        <v>0</v>
      </c>
      <c r="T6" s="2">
        <f ca="1"/>
        <v>2</v>
      </c>
      <c r="U6" s="2">
        <f ca="1"/>
        <v>2</v>
      </c>
      <c r="V6" s="2">
        <f ca="1"/>
        <v>2</v>
      </c>
      <c r="W6" s="2">
        <f ca="1"/>
        <v>2</v>
      </c>
      <c r="X6" s="2">
        <f ca="1"/>
        <v>2</v>
      </c>
      <c r="Y6" s="2">
        <f ca="1"/>
        <v>2</v>
      </c>
      <c r="Z6" s="2">
        <f ca="1"/>
        <v>2</v>
      </c>
      <c r="AE6" s="21">
        <f ca="1"/>
        <v>72</v>
      </c>
      <c r="AF6" s="21">
        <f ca="1"/>
        <v>72</v>
      </c>
      <c r="AG6" s="21">
        <f ca="1"/>
        <v>70</v>
      </c>
      <c r="AI6" s="21">
        <f ca="1"/>
        <v>-0.4</v>
      </c>
      <c r="AJ6" s="21">
        <f ca="1"/>
        <v>-0.4</v>
      </c>
      <c r="AK6" s="21">
        <f ca="1"/>
        <v>-0.5</v>
      </c>
      <c r="AM6" s="21">
        <f ca="1"/>
        <v>-0.4</v>
      </c>
    </row>
    <row r="7" spans="1:56" ht="17" customHeight="1" x14ac:dyDescent="0.2">
      <c r="D7" s="16" t="s">
        <v>21</v>
      </c>
      <c r="E7" s="49">
        <v>3</v>
      </c>
      <c r="F7" s="4">
        <v>3</v>
      </c>
      <c r="G7" s="2">
        <f ca="1"/>
        <v>2</v>
      </c>
      <c r="H7" s="2">
        <f ca="1"/>
        <v>3</v>
      </c>
      <c r="I7" s="2">
        <f ca="1"/>
        <v>3</v>
      </c>
      <c r="J7" s="2">
        <f ca="1"/>
        <v>2</v>
      </c>
      <c r="K7" s="2">
        <f ca="1"/>
        <v>2</v>
      </c>
      <c r="L7" s="2">
        <f ca="1"/>
        <v>0</v>
      </c>
      <c r="M7" s="2">
        <f ca="1"/>
        <v>7</v>
      </c>
      <c r="N7" s="2">
        <f ca="1"/>
        <v>33</v>
      </c>
      <c r="O7" s="2">
        <f ca="1"/>
        <v>66</v>
      </c>
      <c r="P7" s="2">
        <f ca="1"/>
        <v>80</v>
      </c>
      <c r="Q7" s="2">
        <f ca="1"/>
        <v>83</v>
      </c>
      <c r="R7" s="2">
        <f ca="1"/>
        <v>61</v>
      </c>
      <c r="S7" s="2">
        <f ca="1"/>
        <v>22</v>
      </c>
      <c r="T7" s="2">
        <f ca="1"/>
        <v>0</v>
      </c>
      <c r="U7" s="2">
        <f ca="1"/>
        <v>1</v>
      </c>
      <c r="V7" s="2">
        <f ca="1"/>
        <v>3</v>
      </c>
      <c r="W7" s="2">
        <f ca="1"/>
        <v>2</v>
      </c>
      <c r="X7" s="2">
        <f ca="1"/>
        <v>3</v>
      </c>
      <c r="Y7" s="2">
        <f ca="1"/>
        <v>3</v>
      </c>
      <c r="Z7" s="2">
        <f ca="1"/>
        <v>2</v>
      </c>
      <c r="AE7" s="21">
        <f ca="1"/>
        <v>73</v>
      </c>
      <c r="AF7" s="21">
        <f ca="1"/>
        <v>75</v>
      </c>
      <c r="AG7" s="21">
        <f ca="1"/>
        <v>76</v>
      </c>
      <c r="AI7" s="21">
        <f ca="1"/>
        <v>-0.4</v>
      </c>
      <c r="AJ7" s="21">
        <f ca="1"/>
        <v>-0.4</v>
      </c>
      <c r="AK7" s="21">
        <f ca="1"/>
        <v>-0.4</v>
      </c>
      <c r="AM7" s="21">
        <f ca="1"/>
        <v>-0.5</v>
      </c>
    </row>
    <row r="8" spans="1:56" ht="17" customHeight="1" x14ac:dyDescent="0.2">
      <c r="F8" s="4">
        <v>4</v>
      </c>
      <c r="G8" s="2">
        <f ca="1"/>
        <v>2</v>
      </c>
      <c r="H8" s="2">
        <f ca="1"/>
        <v>4</v>
      </c>
      <c r="I8" s="2">
        <f ca="1"/>
        <v>3</v>
      </c>
      <c r="J8" s="2">
        <f ca="1"/>
        <v>2</v>
      </c>
      <c r="K8" s="2">
        <f ca="1"/>
        <v>9</v>
      </c>
      <c r="L8" s="2">
        <f ca="1"/>
        <v>51</v>
      </c>
      <c r="M8" s="2">
        <f ca="1"/>
        <v>104</v>
      </c>
      <c r="N8" s="2">
        <f ca="1"/>
        <v>104</v>
      </c>
      <c r="O8" s="2">
        <f ca="1"/>
        <v>87</v>
      </c>
      <c r="P8" s="2">
        <f ca="1"/>
        <v>71</v>
      </c>
      <c r="Q8" s="2">
        <f ca="1"/>
        <v>81</v>
      </c>
      <c r="R8" s="2">
        <f ca="1"/>
        <v>99</v>
      </c>
      <c r="S8" s="2">
        <f ca="1"/>
        <v>115</v>
      </c>
      <c r="T8" s="2">
        <f ca="1"/>
        <v>78</v>
      </c>
      <c r="U8" s="2">
        <f ca="1"/>
        <v>13</v>
      </c>
      <c r="V8" s="2">
        <f ca="1"/>
        <v>2</v>
      </c>
      <c r="W8" s="2">
        <f ca="1"/>
        <v>4</v>
      </c>
      <c r="X8" s="2">
        <f ca="1"/>
        <v>3</v>
      </c>
      <c r="Y8" s="2">
        <f ca="1"/>
        <v>4</v>
      </c>
      <c r="Z8" s="2">
        <f ca="1"/>
        <v>2</v>
      </c>
      <c r="AM8" s="21">
        <f ca="1"/>
        <v>-0.4</v>
      </c>
    </row>
    <row r="9" spans="1:56" ht="17" customHeight="1" x14ac:dyDescent="0.2">
      <c r="E9" s="4" t="s">
        <v>16</v>
      </c>
      <c r="F9" s="4">
        <v>5</v>
      </c>
      <c r="G9" s="2">
        <f ca="1"/>
        <v>2</v>
      </c>
      <c r="H9" s="2">
        <f ca="1"/>
        <v>6</v>
      </c>
      <c r="I9" s="2">
        <f ca="1"/>
        <v>4</v>
      </c>
      <c r="J9" s="2">
        <f ca="1"/>
        <v>12</v>
      </c>
      <c r="K9" s="2">
        <f ca="1"/>
        <v>110</v>
      </c>
      <c r="L9" s="2">
        <f ca="1"/>
        <v>129</v>
      </c>
      <c r="M9" s="2">
        <f ca="1"/>
        <v>82</v>
      </c>
      <c r="N9" s="2">
        <f ca="1"/>
        <v>53</v>
      </c>
      <c r="O9" s="2">
        <f ca="1"/>
        <v>57</v>
      </c>
      <c r="P9" s="2">
        <f ca="1"/>
        <v>77</v>
      </c>
      <c r="Q9" s="2">
        <f ca="1"/>
        <v>46</v>
      </c>
      <c r="R9" s="2">
        <f ca="1"/>
        <v>46</v>
      </c>
      <c r="S9" s="2">
        <f ca="1"/>
        <v>70</v>
      </c>
      <c r="T9" s="2">
        <f ca="1"/>
        <v>107</v>
      </c>
      <c r="U9" s="2">
        <f ca="1"/>
        <v>99</v>
      </c>
      <c r="V9" s="2">
        <f ca="1"/>
        <v>15</v>
      </c>
      <c r="W9" s="2">
        <f ca="1"/>
        <v>3</v>
      </c>
      <c r="X9" s="2">
        <f ca="1"/>
        <v>5</v>
      </c>
      <c r="Y9" s="2">
        <f ca="1"/>
        <v>5</v>
      </c>
      <c r="Z9" s="2">
        <f ca="1"/>
        <v>2</v>
      </c>
      <c r="AM9" s="21">
        <f ca="1"/>
        <v>-0.4</v>
      </c>
    </row>
    <row r="10" spans="1:56" ht="17" customHeight="1" x14ac:dyDescent="0.2">
      <c r="D10" s="16" t="s">
        <v>20</v>
      </c>
      <c r="E10" s="35" cm="1">
        <f t="array" ref="E10:E13">TRANSPOSE(IF(_xlfn.SEQUENCE(1,COUNT([0]!Classes),1,1)=E6,1,0))</f>
        <v>1</v>
      </c>
      <c r="F10" s="4">
        <v>6</v>
      </c>
      <c r="G10" s="2">
        <f ca="1"/>
        <v>1</v>
      </c>
      <c r="H10" s="2">
        <f ca="1"/>
        <v>6</v>
      </c>
      <c r="I10" s="2">
        <f ca="1"/>
        <v>0</v>
      </c>
      <c r="J10" s="2">
        <f ca="1"/>
        <v>71</v>
      </c>
      <c r="K10" s="2">
        <f ca="1"/>
        <v>130</v>
      </c>
      <c r="L10" s="2">
        <f ca="1"/>
        <v>66</v>
      </c>
      <c r="M10" s="2">
        <f ca="1"/>
        <v>48</v>
      </c>
      <c r="N10" s="2">
        <f ca="1"/>
        <v>49</v>
      </c>
      <c r="O10" s="2">
        <f ca="1"/>
        <v>59</v>
      </c>
      <c r="P10" s="2">
        <f ca="1"/>
        <v>79</v>
      </c>
      <c r="Q10" s="2">
        <f ca="1"/>
        <v>53</v>
      </c>
      <c r="R10" s="2">
        <f ca="1"/>
        <v>47</v>
      </c>
      <c r="S10" s="2">
        <f ca="1"/>
        <v>48</v>
      </c>
      <c r="T10" s="2">
        <f ca="1"/>
        <v>56</v>
      </c>
      <c r="U10" s="2">
        <f ca="1"/>
        <v>95</v>
      </c>
      <c r="V10" s="2">
        <f ca="1"/>
        <v>90</v>
      </c>
      <c r="W10" s="2">
        <f ca="1"/>
        <v>9</v>
      </c>
      <c r="X10" s="2">
        <f ca="1"/>
        <v>4</v>
      </c>
      <c r="Y10" s="2">
        <f ca="1"/>
        <v>6</v>
      </c>
      <c r="Z10" s="2">
        <f ca="1"/>
        <v>1</v>
      </c>
      <c r="AM10" s="21">
        <f ca="1"/>
        <v>-0.5</v>
      </c>
    </row>
    <row r="11" spans="1:56" ht="17" customHeight="1" x14ac:dyDescent="0.2">
      <c r="D11" s="16" t="s">
        <v>8</v>
      </c>
      <c r="E11" s="35">
        <v>0</v>
      </c>
      <c r="F11" s="4">
        <v>7</v>
      </c>
      <c r="G11" s="2">
        <f ca="1"/>
        <v>0</v>
      </c>
      <c r="H11" s="2">
        <f ca="1"/>
        <v>4</v>
      </c>
      <c r="I11" s="2">
        <f ca="1"/>
        <v>16</v>
      </c>
      <c r="J11" s="2">
        <f ca="1"/>
        <v>111</v>
      </c>
      <c r="K11" s="2">
        <f ca="1"/>
        <v>74</v>
      </c>
      <c r="L11" s="2">
        <f ca="1"/>
        <v>53</v>
      </c>
      <c r="M11" s="2">
        <f ca="1"/>
        <v>52</v>
      </c>
      <c r="N11" s="2">
        <f ca="1"/>
        <v>60</v>
      </c>
      <c r="O11" s="2">
        <f ca="1"/>
        <v>62</v>
      </c>
      <c r="P11" s="2">
        <f ca="1"/>
        <v>59</v>
      </c>
      <c r="Q11" s="2">
        <f ca="1"/>
        <v>60</v>
      </c>
      <c r="R11" s="2">
        <f ca="1"/>
        <v>57</v>
      </c>
      <c r="S11" s="2">
        <f ca="1"/>
        <v>48</v>
      </c>
      <c r="T11" s="2">
        <f ca="1"/>
        <v>47</v>
      </c>
      <c r="U11" s="2">
        <f ca="1"/>
        <v>65</v>
      </c>
      <c r="V11" s="2">
        <f ca="1"/>
        <v>102</v>
      </c>
      <c r="W11" s="2">
        <f ca="1"/>
        <v>68</v>
      </c>
      <c r="X11" s="2">
        <f ca="1"/>
        <v>2</v>
      </c>
      <c r="Y11" s="2">
        <f ca="1"/>
        <v>5</v>
      </c>
      <c r="Z11" s="2">
        <f ca="1"/>
        <v>1</v>
      </c>
      <c r="AM11" s="21">
        <f ca="1"/>
        <v>-0.4</v>
      </c>
      <c r="AU11" s="18" t="s">
        <v>85</v>
      </c>
      <c r="AV11" s="152">
        <v>0.5</v>
      </c>
    </row>
    <row r="12" spans="1:56" ht="17" customHeight="1" x14ac:dyDescent="0.2">
      <c r="D12" s="16" t="s">
        <v>9</v>
      </c>
      <c r="E12" s="35">
        <v>0</v>
      </c>
      <c r="F12" s="4">
        <v>8</v>
      </c>
      <c r="G12" s="2">
        <f ca="1"/>
        <v>0</v>
      </c>
      <c r="H12" s="2">
        <f ca="1"/>
        <v>0</v>
      </c>
      <c r="I12" s="2">
        <f ca="1"/>
        <v>53</v>
      </c>
      <c r="J12" s="2">
        <f ca="1"/>
        <v>94</v>
      </c>
      <c r="K12" s="2">
        <f ca="1"/>
        <v>58</v>
      </c>
      <c r="L12" s="2">
        <f ca="1"/>
        <v>55</v>
      </c>
      <c r="M12" s="2">
        <f ca="1"/>
        <v>59</v>
      </c>
      <c r="N12" s="2">
        <f ca="1"/>
        <v>67</v>
      </c>
      <c r="O12" s="2">
        <f ca="1"/>
        <v>69</v>
      </c>
      <c r="P12" s="2">
        <f ca="1"/>
        <v>66</v>
      </c>
      <c r="Q12" s="2">
        <f ca="1"/>
        <v>66</v>
      </c>
      <c r="R12" s="2">
        <f ca="1"/>
        <v>61</v>
      </c>
      <c r="S12" s="2">
        <f ca="1"/>
        <v>68</v>
      </c>
      <c r="T12" s="2">
        <f ca="1"/>
        <v>71</v>
      </c>
      <c r="U12" s="2">
        <f ca="1"/>
        <v>54</v>
      </c>
      <c r="V12" s="2">
        <f ca="1"/>
        <v>52</v>
      </c>
      <c r="W12" s="2">
        <f ca="1"/>
        <v>73</v>
      </c>
      <c r="X12" s="2">
        <f ca="1"/>
        <v>13</v>
      </c>
      <c r="Y12" s="2">
        <f ca="1"/>
        <v>3</v>
      </c>
      <c r="Z12" s="2">
        <f ca="1"/>
        <v>0</v>
      </c>
      <c r="AM12" s="21">
        <f ca="1"/>
        <v>-0.4</v>
      </c>
    </row>
    <row r="13" spans="1:56" ht="17" customHeight="1" x14ac:dyDescent="0.2">
      <c r="D13" s="16" t="s">
        <v>10</v>
      </c>
      <c r="E13" s="35">
        <v>0</v>
      </c>
      <c r="F13" s="4">
        <v>9</v>
      </c>
      <c r="G13" s="2">
        <f ca="1"/>
        <v>0</v>
      </c>
      <c r="H13" s="2">
        <f ca="1"/>
        <v>0</v>
      </c>
      <c r="I13" s="2">
        <f ca="1"/>
        <v>77</v>
      </c>
      <c r="J13" s="2">
        <f ca="1"/>
        <v>81</v>
      </c>
      <c r="K13" s="2">
        <f ca="1"/>
        <v>54</v>
      </c>
      <c r="L13" s="2">
        <f ca="1"/>
        <v>61</v>
      </c>
      <c r="M13" s="2">
        <f ca="1"/>
        <v>68</v>
      </c>
      <c r="N13" s="2">
        <f ca="1"/>
        <v>72</v>
      </c>
      <c r="O13" s="2">
        <f ca="1"/>
        <v>72</v>
      </c>
      <c r="P13" s="2">
        <f ca="1"/>
        <v>69</v>
      </c>
      <c r="Q13" s="2">
        <f ca="1"/>
        <v>67</v>
      </c>
      <c r="R13" s="2">
        <f ca="1"/>
        <v>81</v>
      </c>
      <c r="S13" s="2">
        <f ca="1"/>
        <v>100</v>
      </c>
      <c r="T13" s="2">
        <f ca="1"/>
        <v>96</v>
      </c>
      <c r="U13" s="2">
        <f ca="1"/>
        <v>54</v>
      </c>
      <c r="V13" s="2">
        <f ca="1"/>
        <v>12</v>
      </c>
      <c r="W13" s="2">
        <f ca="1"/>
        <v>65</v>
      </c>
      <c r="X13" s="2">
        <f ca="1"/>
        <v>26</v>
      </c>
      <c r="Y13" s="2">
        <f ca="1"/>
        <v>2</v>
      </c>
      <c r="Z13" s="2">
        <f ca="1"/>
        <v>0</v>
      </c>
      <c r="AM13" s="21">
        <f ca="1"/>
        <v>-0.4</v>
      </c>
      <c r="AU13" s="2" t="s">
        <v>13</v>
      </c>
    </row>
    <row r="14" spans="1:56" ht="17" customHeight="1" x14ac:dyDescent="0.2">
      <c r="F14" s="4">
        <v>10</v>
      </c>
      <c r="G14" s="2">
        <f ca="1"/>
        <v>0</v>
      </c>
      <c r="H14" s="2">
        <f ca="1"/>
        <v>0</v>
      </c>
      <c r="I14" s="2">
        <f ca="1"/>
        <v>91</v>
      </c>
      <c r="J14" s="2">
        <f ca="1"/>
        <v>66</v>
      </c>
      <c r="K14" s="2">
        <f ca="1"/>
        <v>60</v>
      </c>
      <c r="L14" s="2">
        <f ca="1"/>
        <v>65</v>
      </c>
      <c r="M14" s="2">
        <f ca="1"/>
        <v>73</v>
      </c>
      <c r="N14" s="21">
        <f ca="1"/>
        <v>74</v>
      </c>
      <c r="O14" s="21">
        <f ca="1"/>
        <v>72</v>
      </c>
      <c r="P14" s="21">
        <f ca="1"/>
        <v>69</v>
      </c>
      <c r="Q14" s="2">
        <f ca="1"/>
        <v>70</v>
      </c>
      <c r="R14" s="2">
        <f ca="1"/>
        <v>88</v>
      </c>
      <c r="S14" s="2">
        <f ca="1"/>
        <v>71</v>
      </c>
      <c r="T14" s="2">
        <f ca="1"/>
        <v>93</v>
      </c>
      <c r="U14" s="2">
        <f ca="1"/>
        <v>91</v>
      </c>
      <c r="V14" s="2">
        <f ca="1"/>
        <v>49</v>
      </c>
      <c r="W14" s="2">
        <f ca="1"/>
        <v>108</v>
      </c>
      <c r="X14" s="2">
        <f ca="1"/>
        <v>34</v>
      </c>
      <c r="Y14" s="2">
        <f ca="1"/>
        <v>1</v>
      </c>
      <c r="Z14" s="2">
        <f ca="1"/>
        <v>0</v>
      </c>
      <c r="AM14" s="20">
        <v>1</v>
      </c>
      <c r="AU14" s="21" cm="1">
        <f t="array" aca="1" ref="AU14:BD14" ca="1">TRANSPOSE(AM5:AM14)</f>
        <v>-0.4</v>
      </c>
      <c r="AV14" s="21">
        <f ca="1"/>
        <v>-0.4</v>
      </c>
      <c r="AW14" s="21">
        <f ca="1"/>
        <v>-0.5</v>
      </c>
      <c r="AX14" s="21">
        <f ca="1"/>
        <v>-0.4</v>
      </c>
      <c r="AY14" s="21">
        <f ca="1"/>
        <v>-0.4</v>
      </c>
      <c r="AZ14" s="21">
        <f ca="1"/>
        <v>-0.5</v>
      </c>
      <c r="BA14" s="21">
        <f ca="1"/>
        <v>-0.4</v>
      </c>
      <c r="BB14" s="21">
        <f ca="1"/>
        <v>-0.4</v>
      </c>
      <c r="BC14" s="102">
        <f ca="1"/>
        <v>-0.4</v>
      </c>
      <c r="BD14" s="20">
        <f ca="1"/>
        <v>1</v>
      </c>
    </row>
    <row r="15" spans="1:56" ht="17" customHeight="1" x14ac:dyDescent="0.2">
      <c r="F15" s="4">
        <v>11</v>
      </c>
      <c r="G15" s="2">
        <f ca="1"/>
        <v>0</v>
      </c>
      <c r="H15" s="2">
        <f ca="1"/>
        <v>0</v>
      </c>
      <c r="I15" s="2">
        <f ca="1"/>
        <v>106</v>
      </c>
      <c r="J15" s="2">
        <f ca="1"/>
        <v>67</v>
      </c>
      <c r="K15" s="2">
        <f ca="1"/>
        <v>62</v>
      </c>
      <c r="L15" s="2">
        <f ca="1"/>
        <v>68</v>
      </c>
      <c r="M15" s="2">
        <f ca="1"/>
        <v>72</v>
      </c>
      <c r="N15" s="21">
        <f ca="1"/>
        <v>72</v>
      </c>
      <c r="O15" s="21">
        <f ca="1"/>
        <v>72</v>
      </c>
      <c r="P15" s="21">
        <f ca="1"/>
        <v>70</v>
      </c>
      <c r="Q15" s="2">
        <f ca="1"/>
        <v>67</v>
      </c>
      <c r="R15" s="2">
        <f ca="1"/>
        <v>92</v>
      </c>
      <c r="S15" s="2">
        <f ca="1"/>
        <v>106</v>
      </c>
      <c r="T15" s="2">
        <f ca="1"/>
        <v>96</v>
      </c>
      <c r="U15" s="2">
        <f ca="1"/>
        <v>79</v>
      </c>
      <c r="V15" s="2">
        <f ca="1"/>
        <v>56</v>
      </c>
      <c r="W15" s="2">
        <f ca="1"/>
        <v>113</v>
      </c>
      <c r="X15" s="2">
        <f ca="1"/>
        <v>36</v>
      </c>
      <c r="Y15" s="2">
        <f ca="1"/>
        <v>0</v>
      </c>
      <c r="Z15" s="2">
        <f ca="1"/>
        <v>0</v>
      </c>
      <c r="AB15" s="151" t="s">
        <v>39</v>
      </c>
      <c r="AC15" s="3"/>
    </row>
    <row r="16" spans="1:56" ht="17" customHeight="1" x14ac:dyDescent="0.2">
      <c r="F16" s="4">
        <v>12</v>
      </c>
      <c r="G16" s="2">
        <f ca="1"/>
        <v>0</v>
      </c>
      <c r="H16" s="2">
        <f ca="1"/>
        <v>0</v>
      </c>
      <c r="I16" s="2">
        <f ca="1"/>
        <v>111</v>
      </c>
      <c r="J16" s="2">
        <f ca="1"/>
        <v>72</v>
      </c>
      <c r="K16" s="2">
        <f ca="1"/>
        <v>59</v>
      </c>
      <c r="L16" s="2">
        <f ca="1"/>
        <v>69</v>
      </c>
      <c r="M16" s="2">
        <f ca="1"/>
        <v>69</v>
      </c>
      <c r="N16" s="21">
        <f ca="1"/>
        <v>73</v>
      </c>
      <c r="O16" s="21">
        <f ca="1"/>
        <v>75</v>
      </c>
      <c r="P16" s="21">
        <f ca="1"/>
        <v>76</v>
      </c>
      <c r="Q16" s="2">
        <f ca="1"/>
        <v>71</v>
      </c>
      <c r="R16" s="2">
        <f ca="1"/>
        <v>69</v>
      </c>
      <c r="S16" s="2">
        <f ca="1"/>
        <v>74</v>
      </c>
      <c r="T16" s="2">
        <f ca="1"/>
        <v>77</v>
      </c>
      <c r="U16" s="2">
        <f ca="1"/>
        <v>70</v>
      </c>
      <c r="V16" s="2">
        <f ca="1"/>
        <v>47</v>
      </c>
      <c r="W16" s="2">
        <f ca="1"/>
        <v>107</v>
      </c>
      <c r="X16" s="2">
        <f ca="1"/>
        <v>34</v>
      </c>
      <c r="Y16" s="2">
        <f ca="1"/>
        <v>0</v>
      </c>
      <c r="Z16" s="2">
        <f ca="1"/>
        <v>0</v>
      </c>
      <c r="AB16" s="2" t="s">
        <v>0</v>
      </c>
      <c r="AK16" s="2" t="s">
        <v>1</v>
      </c>
      <c r="AM16" s="2" t="s">
        <v>2</v>
      </c>
      <c r="AO16" s="18" t="s">
        <v>115</v>
      </c>
      <c r="AP16" s="2" t="s">
        <v>92</v>
      </c>
      <c r="AQ16" s="2" t="s">
        <v>5</v>
      </c>
      <c r="AS16" s="136" t="s">
        <v>94</v>
      </c>
      <c r="AU16" s="136" t="s">
        <v>90</v>
      </c>
      <c r="BD16" s="2" t="s">
        <v>91</v>
      </c>
    </row>
    <row r="17" spans="6:56" ht="17" customHeight="1" x14ac:dyDescent="0.2">
      <c r="F17" s="4">
        <v>13</v>
      </c>
      <c r="G17" s="2">
        <f ca="1"/>
        <v>0</v>
      </c>
      <c r="H17" s="2">
        <f ca="1"/>
        <v>1</v>
      </c>
      <c r="I17" s="2">
        <f ca="1"/>
        <v>113</v>
      </c>
      <c r="J17" s="2">
        <f ca="1"/>
        <v>76</v>
      </c>
      <c r="K17" s="2">
        <f ca="1"/>
        <v>62</v>
      </c>
      <c r="L17" s="2">
        <f ca="1"/>
        <v>66</v>
      </c>
      <c r="M17" s="2">
        <f ca="1"/>
        <v>70</v>
      </c>
      <c r="N17" s="2">
        <f ca="1"/>
        <v>73</v>
      </c>
      <c r="O17" s="2">
        <f ca="1"/>
        <v>74</v>
      </c>
      <c r="P17" s="2">
        <f ca="1"/>
        <v>72</v>
      </c>
      <c r="Q17" s="2">
        <f ca="1"/>
        <v>69</v>
      </c>
      <c r="R17" s="2">
        <f ca="1"/>
        <v>69</v>
      </c>
      <c r="S17" s="2">
        <f ca="1"/>
        <v>59</v>
      </c>
      <c r="T17" s="2">
        <f ca="1"/>
        <v>56</v>
      </c>
      <c r="U17" s="2">
        <f ca="1"/>
        <v>57</v>
      </c>
      <c r="V17" s="2">
        <f ca="1"/>
        <v>55</v>
      </c>
      <c r="W17" s="2">
        <f ca="1"/>
        <v>105</v>
      </c>
      <c r="X17" s="2">
        <f ca="1"/>
        <v>29</v>
      </c>
      <c r="Y17" s="2">
        <f ca="1"/>
        <v>0</v>
      </c>
      <c r="Z17" s="2">
        <f ca="1"/>
        <v>0</v>
      </c>
      <c r="AB17" s="20" cm="1">
        <f t="array" aca="1" ref="AB17:AK20" ca="1">ROUND(_xlfn.RANDARRAY(COUNT([0]!Classes), COUNT(AM5:AM14),-1,1),1)</f>
        <v>-0.7</v>
      </c>
      <c r="AC17" s="20">
        <f ca="1"/>
        <v>0.3</v>
      </c>
      <c r="AD17" s="20">
        <f ca="1"/>
        <v>0.4</v>
      </c>
      <c r="AE17" s="20">
        <f ca="1"/>
        <v>-0.8</v>
      </c>
      <c r="AF17" s="20">
        <f ca="1"/>
        <v>0.3</v>
      </c>
      <c r="AG17" s="20">
        <f ca="1"/>
        <v>-0.6</v>
      </c>
      <c r="AH17" s="20">
        <f ca="1"/>
        <v>0.6</v>
      </c>
      <c r="AI17" s="20">
        <f ca="1"/>
        <v>0</v>
      </c>
      <c r="AJ17" s="20">
        <f ca="1"/>
        <v>0.8</v>
      </c>
      <c r="AK17" s="20">
        <f ca="1"/>
        <v>-0.8</v>
      </c>
      <c r="AM17" s="20" cm="1">
        <f t="array" aca="1" ref="AM17:AM20" ca="1">ROUND(MMULT(_xlfn.ANCHORARRAY(AB17),AM5:AM14),2)</f>
        <v>-0.9</v>
      </c>
      <c r="AO17" s="20" cm="1">
        <f t="array" aca="1" ref="AO17:AO20" ca="1">EXP(_xlfn.ANCHORARRAY(AM17))/SUM(EXP(_xlfn.ANCHORARRAY(AM17)))</f>
        <v>9.32390473449108E-2</v>
      </c>
      <c r="AP17" s="20" cm="1">
        <f t="array" ref="AP17:AP20">_xlfn.ANCHORARRAY($E$10)</f>
        <v>1</v>
      </c>
      <c r="AQ17" s="85" cm="1">
        <f t="array" aca="1" ref="AQ17" ca="1">-SUMPRODUCT(_xlfn.ANCHORARRAY(AP17), LN(_xlfn.ANCHORARRAY(AO17)))</f>
        <v>2.3725886821028257</v>
      </c>
      <c r="AS17" s="20" cm="1">
        <f t="array" aca="1" ref="AS17:AS20" ca="1">ROUND(_xlfn.ANCHORARRAY(AO17)-AP17:AP20,2)</f>
        <v>-0.91</v>
      </c>
      <c r="AU17" s="20" cm="1">
        <f t="array" aca="1" ref="AU17:BD20" ca="1">ROUND(-$AV$11*MMULT(_xlfn.ANCHORARRAY(AS17),_xlfn.ANCHORARRAY(AU14)),2)</f>
        <v>-0.18</v>
      </c>
      <c r="AV17" s="20">
        <f ca="1"/>
        <v>-0.18</v>
      </c>
      <c r="AW17" s="20">
        <f ca="1"/>
        <v>-0.23</v>
      </c>
      <c r="AX17" s="20">
        <f ca="1"/>
        <v>-0.18</v>
      </c>
      <c r="AY17" s="20">
        <f ca="1"/>
        <v>-0.18</v>
      </c>
      <c r="AZ17" s="20">
        <f ca="1"/>
        <v>-0.23</v>
      </c>
      <c r="BA17" s="20">
        <f ca="1"/>
        <v>-0.18</v>
      </c>
      <c r="BB17" s="20">
        <f ca="1"/>
        <v>-0.18</v>
      </c>
      <c r="BC17" s="20">
        <f ca="1"/>
        <v>-0.18</v>
      </c>
      <c r="BD17" s="20">
        <f ca="1"/>
        <v>0.46</v>
      </c>
    </row>
    <row r="18" spans="6:56" ht="17" customHeight="1" x14ac:dyDescent="0.2">
      <c r="F18" s="4">
        <v>14</v>
      </c>
      <c r="G18" s="2">
        <f ca="1"/>
        <v>0</v>
      </c>
      <c r="H18" s="2">
        <f ca="1"/>
        <v>3</v>
      </c>
      <c r="I18" s="2">
        <f ca="1"/>
        <v>96</v>
      </c>
      <c r="J18" s="2">
        <f ca="1"/>
        <v>62</v>
      </c>
      <c r="K18" s="2">
        <f ca="1"/>
        <v>92</v>
      </c>
      <c r="L18" s="2">
        <f ca="1"/>
        <v>72</v>
      </c>
      <c r="M18" s="2">
        <f ca="1"/>
        <v>70</v>
      </c>
      <c r="N18" s="2">
        <f ca="1"/>
        <v>74</v>
      </c>
      <c r="O18" s="2">
        <f ca="1"/>
        <v>75</v>
      </c>
      <c r="P18" s="2">
        <f ca="1"/>
        <v>71</v>
      </c>
      <c r="Q18" s="2">
        <f ca="1"/>
        <v>71</v>
      </c>
      <c r="R18" s="2">
        <f ca="1"/>
        <v>72</v>
      </c>
      <c r="S18" s="2">
        <f ca="1"/>
        <v>67</v>
      </c>
      <c r="T18" s="2">
        <f ca="1"/>
        <v>62</v>
      </c>
      <c r="U18" s="2">
        <f ca="1"/>
        <v>68</v>
      </c>
      <c r="V18" s="2">
        <f ca="1"/>
        <v>42</v>
      </c>
      <c r="W18" s="2">
        <f ca="1"/>
        <v>98</v>
      </c>
      <c r="X18" s="2">
        <f ca="1"/>
        <v>24</v>
      </c>
      <c r="Y18" s="2">
        <f ca="1"/>
        <v>4</v>
      </c>
      <c r="Z18" s="2">
        <f ca="1"/>
        <v>0</v>
      </c>
      <c r="AB18" s="20">
        <f ca="1"/>
        <v>-0.2</v>
      </c>
      <c r="AC18" s="20">
        <f ca="1"/>
        <v>0.1</v>
      </c>
      <c r="AD18" s="20">
        <f ca="1"/>
        <v>-0.1</v>
      </c>
      <c r="AE18" s="20">
        <f ca="1"/>
        <v>-0.1</v>
      </c>
      <c r="AF18" s="20">
        <f ca="1"/>
        <v>0.2</v>
      </c>
      <c r="AG18" s="20">
        <f ca="1"/>
        <v>-0.4</v>
      </c>
      <c r="AH18" s="20">
        <f ca="1"/>
        <v>-0.8</v>
      </c>
      <c r="AI18" s="20">
        <f ca="1"/>
        <v>-1</v>
      </c>
      <c r="AJ18" s="20">
        <f ca="1"/>
        <v>-0.1</v>
      </c>
      <c r="AK18" s="20">
        <f ca="1"/>
        <v>-0.6</v>
      </c>
      <c r="AM18" s="20">
        <f ca="1"/>
        <v>0.41</v>
      </c>
      <c r="AO18" s="20">
        <f ca="1"/>
        <v>0.34556010622123051</v>
      </c>
      <c r="AP18" s="20">
        <v>0</v>
      </c>
      <c r="AS18" s="20">
        <f ca="1"/>
        <v>0.35</v>
      </c>
      <c r="AU18" s="20">
        <f ca="1"/>
        <v>7.0000000000000007E-2</v>
      </c>
      <c r="AV18" s="20">
        <f ca="1"/>
        <v>7.0000000000000007E-2</v>
      </c>
      <c r="AW18" s="20">
        <f ca="1"/>
        <v>0.09</v>
      </c>
      <c r="AX18" s="20">
        <f ca="1"/>
        <v>7.0000000000000007E-2</v>
      </c>
      <c r="AY18" s="20">
        <f ca="1"/>
        <v>7.0000000000000007E-2</v>
      </c>
      <c r="AZ18" s="20">
        <f ca="1"/>
        <v>0.09</v>
      </c>
      <c r="BA18" s="20">
        <f ca="1"/>
        <v>7.0000000000000007E-2</v>
      </c>
      <c r="BB18" s="20">
        <f ca="1"/>
        <v>7.0000000000000007E-2</v>
      </c>
      <c r="BC18" s="20">
        <f ca="1"/>
        <v>7.0000000000000007E-2</v>
      </c>
      <c r="BD18" s="20">
        <f ca="1"/>
        <v>-0.18</v>
      </c>
    </row>
    <row r="19" spans="6:56" ht="17" customHeight="1" x14ac:dyDescent="0.2">
      <c r="F19" s="4">
        <v>15</v>
      </c>
      <c r="G19" s="2">
        <f ca="1"/>
        <v>0</v>
      </c>
      <c r="H19" s="2">
        <f ca="1"/>
        <v>2</v>
      </c>
      <c r="I19" s="2">
        <f ca="1"/>
        <v>90</v>
      </c>
      <c r="J19" s="2">
        <f ca="1"/>
        <v>47</v>
      </c>
      <c r="K19" s="2">
        <f ca="1"/>
        <v>63</v>
      </c>
      <c r="L19" s="2">
        <f ca="1"/>
        <v>65</v>
      </c>
      <c r="M19" s="2">
        <f ca="1"/>
        <v>70</v>
      </c>
      <c r="N19" s="2">
        <f ca="1"/>
        <v>73</v>
      </c>
      <c r="O19" s="2">
        <f ca="1"/>
        <v>76</v>
      </c>
      <c r="P19" s="2">
        <f ca="1"/>
        <v>78</v>
      </c>
      <c r="Q19" s="2">
        <f ca="1"/>
        <v>74</v>
      </c>
      <c r="R19" s="2">
        <f ca="1"/>
        <v>72</v>
      </c>
      <c r="S19" s="2">
        <f ca="1"/>
        <v>69</v>
      </c>
      <c r="T19" s="2">
        <f ca="1"/>
        <v>63</v>
      </c>
      <c r="U19" s="2">
        <f ca="1"/>
        <v>55</v>
      </c>
      <c r="V19" s="2">
        <f ca="1"/>
        <v>61</v>
      </c>
      <c r="W19" s="2">
        <f ca="1"/>
        <v>104</v>
      </c>
      <c r="X19" s="2">
        <f ca="1"/>
        <v>14</v>
      </c>
      <c r="Y19" s="2">
        <f ca="1"/>
        <v>2</v>
      </c>
      <c r="Z19" s="2">
        <f ca="1"/>
        <v>0</v>
      </c>
      <c r="AB19" s="20">
        <f ca="1"/>
        <v>-0.6</v>
      </c>
      <c r="AC19" s="20">
        <f ca="1"/>
        <v>-0.8</v>
      </c>
      <c r="AD19" s="20">
        <f ca="1"/>
        <v>0.8</v>
      </c>
      <c r="AE19" s="20">
        <f ca="1"/>
        <v>-0.8</v>
      </c>
      <c r="AF19" s="20">
        <f ca="1"/>
        <v>-0.7</v>
      </c>
      <c r="AG19" s="20">
        <f ca="1"/>
        <v>-0.2</v>
      </c>
      <c r="AH19" s="20">
        <f ca="1"/>
        <v>-0.2</v>
      </c>
      <c r="AI19" s="20">
        <f ca="1"/>
        <v>0.1</v>
      </c>
      <c r="AJ19" s="20">
        <f ca="1"/>
        <v>0</v>
      </c>
      <c r="AK19" s="20">
        <f ca="1"/>
        <v>-0.3</v>
      </c>
      <c r="AM19" s="20">
        <f ca="1"/>
        <v>0.6</v>
      </c>
      <c r="AO19" s="20">
        <f ca="1"/>
        <v>0.4178684194144201</v>
      </c>
      <c r="AP19" s="20">
        <v>0</v>
      </c>
      <c r="AS19" s="20">
        <f ca="1"/>
        <v>0.42</v>
      </c>
      <c r="AU19" s="20">
        <f ca="1"/>
        <v>0.08</v>
      </c>
      <c r="AV19" s="20">
        <f ca="1"/>
        <v>0.08</v>
      </c>
      <c r="AW19" s="20">
        <f ca="1"/>
        <v>0.11</v>
      </c>
      <c r="AX19" s="20">
        <f ca="1"/>
        <v>0.08</v>
      </c>
      <c r="AY19" s="20">
        <f ca="1"/>
        <v>0.08</v>
      </c>
      <c r="AZ19" s="20">
        <f ca="1"/>
        <v>0.11</v>
      </c>
      <c r="BA19" s="20">
        <f ca="1"/>
        <v>0.08</v>
      </c>
      <c r="BB19" s="20">
        <f ca="1"/>
        <v>0.08</v>
      </c>
      <c r="BC19" s="20">
        <f ca="1"/>
        <v>0.08</v>
      </c>
      <c r="BD19" s="20">
        <f ca="1"/>
        <v>-0.21</v>
      </c>
    </row>
    <row r="20" spans="6:56" ht="17" customHeight="1" x14ac:dyDescent="0.2">
      <c r="F20" s="4">
        <v>16</v>
      </c>
      <c r="G20" s="2">
        <f ca="1"/>
        <v>0</v>
      </c>
      <c r="H20" s="2">
        <f ca="1"/>
        <v>0</v>
      </c>
      <c r="I20" s="2">
        <f ca="1"/>
        <v>107</v>
      </c>
      <c r="J20" s="2">
        <f ca="1"/>
        <v>80</v>
      </c>
      <c r="K20" s="2">
        <f ca="1"/>
        <v>38</v>
      </c>
      <c r="L20" s="2">
        <f ca="1"/>
        <v>63</v>
      </c>
      <c r="M20" s="2">
        <f ca="1"/>
        <v>68</v>
      </c>
      <c r="N20" s="2">
        <f ca="1"/>
        <v>73</v>
      </c>
      <c r="O20" s="2">
        <f ca="1"/>
        <v>71</v>
      </c>
      <c r="P20" s="2">
        <f ca="1"/>
        <v>65</v>
      </c>
      <c r="Q20" s="2">
        <f ca="1"/>
        <v>66</v>
      </c>
      <c r="R20" s="2">
        <f ca="1"/>
        <v>73</v>
      </c>
      <c r="S20" s="2">
        <f ca="1"/>
        <v>69</v>
      </c>
      <c r="T20" s="2">
        <f ca="1"/>
        <v>59</v>
      </c>
      <c r="U20" s="2">
        <f ca="1"/>
        <v>43</v>
      </c>
      <c r="V20" s="2">
        <f ca="1"/>
        <v>44</v>
      </c>
      <c r="W20" s="2">
        <f ca="1"/>
        <v>101</v>
      </c>
      <c r="X20" s="2">
        <f ca="1"/>
        <v>7</v>
      </c>
      <c r="Y20" s="2">
        <f ca="1"/>
        <v>2</v>
      </c>
      <c r="Z20" s="2">
        <f ca="1"/>
        <v>0</v>
      </c>
      <c r="AB20" s="20">
        <f ca="1"/>
        <v>-0.2</v>
      </c>
      <c r="AC20" s="20">
        <f ca="1"/>
        <v>0.9</v>
      </c>
      <c r="AD20" s="20">
        <f ca="1"/>
        <v>0.8</v>
      </c>
      <c r="AE20" s="20">
        <f ca="1"/>
        <v>-0.1</v>
      </c>
      <c r="AF20" s="20">
        <f ca="1"/>
        <v>-0.4</v>
      </c>
      <c r="AG20" s="20">
        <f ca="1"/>
        <v>0.5</v>
      </c>
      <c r="AH20" s="20">
        <f ca="1"/>
        <v>-0.6</v>
      </c>
      <c r="AI20" s="20">
        <f ca="1"/>
        <v>0.9</v>
      </c>
      <c r="AJ20" s="20">
        <f ca="1"/>
        <v>-0.2</v>
      </c>
      <c r="AK20" s="20">
        <f ca="1"/>
        <v>0.3</v>
      </c>
      <c r="AM20" s="20">
        <f ca="1"/>
        <v>-0.47</v>
      </c>
      <c r="AO20" s="20">
        <f ca="1"/>
        <v>0.14333242701943855</v>
      </c>
      <c r="AP20" s="20">
        <v>0</v>
      </c>
      <c r="AS20" s="20">
        <f ca="1"/>
        <v>0.14000000000000001</v>
      </c>
      <c r="AU20" s="20">
        <f ca="1"/>
        <v>0.03</v>
      </c>
      <c r="AV20" s="20">
        <f ca="1"/>
        <v>0.03</v>
      </c>
      <c r="AW20" s="20">
        <f ca="1"/>
        <v>0.04</v>
      </c>
      <c r="AX20" s="20">
        <f ca="1"/>
        <v>0.03</v>
      </c>
      <c r="AY20" s="20">
        <f ca="1"/>
        <v>0.03</v>
      </c>
      <c r="AZ20" s="20">
        <f ca="1"/>
        <v>0.04</v>
      </c>
      <c r="BA20" s="20">
        <f ca="1"/>
        <v>0.03</v>
      </c>
      <c r="BB20" s="20">
        <f ca="1"/>
        <v>0.03</v>
      </c>
      <c r="BC20" s="20">
        <f ca="1"/>
        <v>0.03</v>
      </c>
      <c r="BD20" s="20">
        <f ca="1"/>
        <v>-7.0000000000000007E-2</v>
      </c>
    </row>
    <row r="21" spans="6:56" ht="17" customHeight="1" x14ac:dyDescent="0.2">
      <c r="F21" s="4">
        <v>17</v>
      </c>
      <c r="G21" s="2">
        <f ca="1"/>
        <v>0</v>
      </c>
      <c r="H21" s="2">
        <f ca="1"/>
        <v>0</v>
      </c>
      <c r="I21" s="2">
        <f ca="1"/>
        <v>75</v>
      </c>
      <c r="J21" s="2">
        <f ca="1"/>
        <v>115</v>
      </c>
      <c r="K21" s="2">
        <f ca="1"/>
        <v>41</v>
      </c>
      <c r="L21" s="2">
        <f ca="1"/>
        <v>55</v>
      </c>
      <c r="M21" s="2">
        <f ca="1"/>
        <v>63</v>
      </c>
      <c r="N21" s="2">
        <f ca="1"/>
        <v>63</v>
      </c>
      <c r="O21" s="2">
        <f ca="1"/>
        <v>49</v>
      </c>
      <c r="P21" s="2">
        <f ca="1"/>
        <v>39</v>
      </c>
      <c r="Q21" s="2">
        <f ca="1"/>
        <v>41</v>
      </c>
      <c r="R21" s="2">
        <f ca="1"/>
        <v>62</v>
      </c>
      <c r="S21" s="2">
        <f ca="1"/>
        <v>63</v>
      </c>
      <c r="T21" s="2">
        <f ca="1"/>
        <v>55</v>
      </c>
      <c r="U21" s="2">
        <f ca="1"/>
        <v>42</v>
      </c>
      <c r="V21" s="2">
        <f ca="1"/>
        <v>65</v>
      </c>
      <c r="W21" s="2">
        <f ca="1"/>
        <v>87</v>
      </c>
      <c r="X21" s="2">
        <f ca="1"/>
        <v>0</v>
      </c>
      <c r="Y21" s="2">
        <f ca="1"/>
        <v>3</v>
      </c>
      <c r="Z21" s="2">
        <f ca="1"/>
        <v>0</v>
      </c>
    </row>
    <row r="22" spans="6:56" ht="17" customHeight="1" x14ac:dyDescent="0.2">
      <c r="F22" s="4">
        <v>18</v>
      </c>
      <c r="G22" s="2">
        <f ca="1"/>
        <v>0</v>
      </c>
      <c r="H22" s="2">
        <f ca="1"/>
        <v>0</v>
      </c>
      <c r="I22" s="2">
        <f ca="1"/>
        <v>37</v>
      </c>
      <c r="J22" s="2">
        <f ca="1"/>
        <v>132</v>
      </c>
      <c r="K22" s="2">
        <f ca="1"/>
        <v>69</v>
      </c>
      <c r="L22" s="2">
        <f ca="1"/>
        <v>52</v>
      </c>
      <c r="M22" s="2">
        <f ca="1"/>
        <v>51</v>
      </c>
      <c r="N22" s="2">
        <f ca="1"/>
        <v>47</v>
      </c>
      <c r="O22" s="2">
        <f ca="1"/>
        <v>38</v>
      </c>
      <c r="P22" s="2">
        <f ca="1"/>
        <v>32</v>
      </c>
      <c r="Q22" s="2">
        <f ca="1"/>
        <v>38</v>
      </c>
      <c r="R22" s="2">
        <f ca="1"/>
        <v>38</v>
      </c>
      <c r="S22" s="2">
        <f ca="1"/>
        <v>42</v>
      </c>
      <c r="T22" s="2">
        <f ca="1"/>
        <v>45</v>
      </c>
      <c r="U22" s="2">
        <f ca="1"/>
        <v>58</v>
      </c>
      <c r="V22" s="2">
        <f ca="1"/>
        <v>101</v>
      </c>
      <c r="W22" s="2">
        <f ca="1"/>
        <v>46</v>
      </c>
      <c r="X22" s="2">
        <f ca="1"/>
        <v>0</v>
      </c>
      <c r="Y22" s="2">
        <f ca="1"/>
        <v>4</v>
      </c>
      <c r="Z22" s="2">
        <f ca="1"/>
        <v>1</v>
      </c>
      <c r="AB22" s="151" t="s">
        <v>49</v>
      </c>
      <c r="AC22" s="3"/>
    </row>
    <row r="23" spans="6:56" ht="17" customHeight="1" x14ac:dyDescent="0.2">
      <c r="F23" s="4">
        <v>19</v>
      </c>
      <c r="G23" s="2">
        <f ca="1"/>
        <v>1</v>
      </c>
      <c r="H23" s="2">
        <f ca="1"/>
        <v>3</v>
      </c>
      <c r="I23" s="2">
        <f ca="1"/>
        <v>16</v>
      </c>
      <c r="J23" s="2">
        <f ca="1"/>
        <v>133</v>
      </c>
      <c r="K23" s="2">
        <f ca="1"/>
        <v>87</v>
      </c>
      <c r="L23" s="2">
        <f ca="1"/>
        <v>76</v>
      </c>
      <c r="M23" s="2">
        <f ca="1"/>
        <v>93</v>
      </c>
      <c r="N23" s="2">
        <f ca="1"/>
        <v>107</v>
      </c>
      <c r="O23" s="2">
        <f ca="1"/>
        <v>71</v>
      </c>
      <c r="P23" s="2">
        <f ca="1"/>
        <v>61</v>
      </c>
      <c r="Q23" s="2">
        <f ca="1"/>
        <v>81</v>
      </c>
      <c r="R23" s="2">
        <f ca="1"/>
        <v>104</v>
      </c>
      <c r="S23" s="2">
        <f ca="1"/>
        <v>89</v>
      </c>
      <c r="T23" s="2">
        <f ca="1"/>
        <v>72</v>
      </c>
      <c r="U23" s="2">
        <f ca="1"/>
        <v>87</v>
      </c>
      <c r="V23" s="2">
        <f ca="1"/>
        <v>89</v>
      </c>
      <c r="W23" s="2">
        <f ca="1"/>
        <v>5</v>
      </c>
      <c r="X23" s="2">
        <f ca="1"/>
        <v>4</v>
      </c>
      <c r="Y23" s="2">
        <f ca="1"/>
        <v>4</v>
      </c>
      <c r="Z23" s="2">
        <f ca="1"/>
        <v>1</v>
      </c>
      <c r="AB23" s="136" t="s">
        <v>11</v>
      </c>
      <c r="AK23" s="2" t="s">
        <v>12</v>
      </c>
      <c r="AM23" s="2" t="s">
        <v>2</v>
      </c>
      <c r="AO23" s="18" t="s">
        <v>115</v>
      </c>
      <c r="AP23" s="2" t="s">
        <v>92</v>
      </c>
      <c r="AQ23" s="2" t="s">
        <v>5</v>
      </c>
      <c r="AS23" s="136" t="s">
        <v>94</v>
      </c>
      <c r="AU23" s="136" t="s">
        <v>90</v>
      </c>
      <c r="BD23" s="2" t="s">
        <v>91</v>
      </c>
    </row>
    <row r="24" spans="6:56" ht="17" customHeight="1" x14ac:dyDescent="0.2">
      <c r="F24" s="4">
        <v>20</v>
      </c>
      <c r="G24" s="2">
        <f ca="1"/>
        <v>2</v>
      </c>
      <c r="H24" s="2">
        <f ca="1"/>
        <v>4</v>
      </c>
      <c r="I24" s="2">
        <f ca="1"/>
        <v>5</v>
      </c>
      <c r="J24" s="2">
        <f ca="1"/>
        <v>110</v>
      </c>
      <c r="K24" s="2">
        <f ca="1"/>
        <v>103</v>
      </c>
      <c r="L24" s="2">
        <f ca="1"/>
        <v>66</v>
      </c>
      <c r="M24" s="2">
        <f ca="1"/>
        <v>70</v>
      </c>
      <c r="N24" s="2">
        <f ca="1"/>
        <v>102</v>
      </c>
      <c r="O24" s="2">
        <f ca="1"/>
        <v>123</v>
      </c>
      <c r="P24" s="2">
        <f ca="1"/>
        <v>114</v>
      </c>
      <c r="Q24" s="2">
        <f ca="1"/>
        <v>114</v>
      </c>
      <c r="R24" s="2">
        <f ca="1"/>
        <v>117</v>
      </c>
      <c r="S24" s="2">
        <f ca="1"/>
        <v>85</v>
      </c>
      <c r="T24" s="2">
        <f ca="1"/>
        <v>63</v>
      </c>
      <c r="U24" s="2">
        <f ca="1"/>
        <v>83</v>
      </c>
      <c r="V24" s="2">
        <f ca="1"/>
        <v>20</v>
      </c>
      <c r="W24" s="2">
        <f ca="1"/>
        <v>2</v>
      </c>
      <c r="X24" s="2">
        <f ca="1"/>
        <v>4</v>
      </c>
      <c r="Y24" s="2">
        <f ca="1"/>
        <v>4</v>
      </c>
      <c r="Z24" s="2">
        <f ca="1"/>
        <v>2</v>
      </c>
      <c r="AB24" s="20" cm="1">
        <f t="array" aca="1" ref="AB24:AK27" ca="1">_xlfn.ANCHORARRAY(AB17)+_xlfn.ANCHORARRAY(AU17)</f>
        <v>-0.87999999999999989</v>
      </c>
      <c r="AC24" s="20">
        <f ca="1"/>
        <v>0.12</v>
      </c>
      <c r="AD24" s="20">
        <f ca="1"/>
        <v>0.17</v>
      </c>
      <c r="AE24" s="20">
        <f ca="1"/>
        <v>-0.98</v>
      </c>
      <c r="AF24" s="20">
        <f ca="1"/>
        <v>0.12</v>
      </c>
      <c r="AG24" s="20">
        <f ca="1"/>
        <v>-0.83</v>
      </c>
      <c r="AH24" s="20">
        <f ca="1"/>
        <v>0.42</v>
      </c>
      <c r="AI24" s="20">
        <f ca="1"/>
        <v>-0.18</v>
      </c>
      <c r="AJ24" s="20">
        <f ca="1"/>
        <v>0.62000000000000011</v>
      </c>
      <c r="AK24" s="20">
        <f ca="1"/>
        <v>-0.34</v>
      </c>
      <c r="AM24" s="20" cm="1">
        <f t="array" aca="1" ref="AM24:AM27" ca="1">MMULT(_xlfn.ANCHORARRAY(AB24),AM5:AM14)</f>
        <v>0.29399999999999987</v>
      </c>
      <c r="AO24" s="20" cm="1">
        <f t="array" aca="1" ref="AO24:AO27" ca="1">EXP(_xlfn.ANCHORARRAY(AM24))/SUM(EXP(_xlfn.ANCHORARRAY(AM24)))</f>
        <v>0.34763863792291616</v>
      </c>
      <c r="AP24" s="20" cm="1">
        <f t="array" ref="AP24:AP27">_xlfn.ANCHORARRAY($E$10)</f>
        <v>1</v>
      </c>
      <c r="AQ24" s="85" cm="1">
        <f t="array" aca="1" ref="AQ24" ca="1">-SUMPRODUCT(_xlfn.ANCHORARRAY(AP24), LN(_xlfn.ANCHORARRAY(AO24)))</f>
        <v>1.0565917354883356</v>
      </c>
      <c r="AS24" s="20" cm="1">
        <f t="array" aca="1" ref="AS24:AS27" ca="1">ROUND(_xlfn.ANCHORARRAY(AO24)-AP24:AP27,2)</f>
        <v>-0.65</v>
      </c>
      <c r="AU24" s="20" cm="1">
        <f t="array" aca="1" ref="AU24:BD27" ca="1">ROUND(-$AV$11*MMULT(_xlfn.ANCHORARRAY(AS24),_xlfn.ANCHORARRAY(AU14)),2)</f>
        <v>-0.13</v>
      </c>
      <c r="AV24" s="20">
        <f ca="1"/>
        <v>-0.13</v>
      </c>
      <c r="AW24" s="20">
        <f ca="1"/>
        <v>-0.16</v>
      </c>
      <c r="AX24" s="20">
        <f ca="1"/>
        <v>-0.13</v>
      </c>
      <c r="AY24" s="20">
        <f ca="1"/>
        <v>-0.13</v>
      </c>
      <c r="AZ24" s="20">
        <f ca="1"/>
        <v>-0.16</v>
      </c>
      <c r="BA24" s="20">
        <f ca="1"/>
        <v>-0.13</v>
      </c>
      <c r="BB24" s="20">
        <f ca="1"/>
        <v>-0.13</v>
      </c>
      <c r="BC24" s="20">
        <f ca="1"/>
        <v>-0.13</v>
      </c>
      <c r="BD24" s="20">
        <f ca="1"/>
        <v>0.33</v>
      </c>
    </row>
    <row r="25" spans="6:56" ht="17" customHeight="1" x14ac:dyDescent="0.2">
      <c r="F25" s="4">
        <v>21</v>
      </c>
      <c r="G25" s="2">
        <f ca="1"/>
        <v>2</v>
      </c>
      <c r="H25" s="2">
        <f ca="1"/>
        <v>4</v>
      </c>
      <c r="I25" s="2">
        <f ca="1"/>
        <v>4</v>
      </c>
      <c r="J25" s="2">
        <f ca="1"/>
        <v>73</v>
      </c>
      <c r="K25" s="2">
        <f ca="1"/>
        <v>90</v>
      </c>
      <c r="L25" s="2">
        <f ca="1"/>
        <v>54</v>
      </c>
      <c r="M25" s="2">
        <f ca="1"/>
        <v>51</v>
      </c>
      <c r="N25" s="2">
        <f ca="1"/>
        <v>81</v>
      </c>
      <c r="O25" s="2">
        <f ca="1"/>
        <v>99</v>
      </c>
      <c r="P25" s="2">
        <f ca="1"/>
        <v>81</v>
      </c>
      <c r="Q25" s="2">
        <f ca="1"/>
        <v>99</v>
      </c>
      <c r="R25" s="2">
        <f ca="1"/>
        <v>84</v>
      </c>
      <c r="S25" s="2">
        <f ca="1"/>
        <v>58</v>
      </c>
      <c r="T25" s="2">
        <f ca="1"/>
        <v>42</v>
      </c>
      <c r="U25" s="2">
        <f ca="1"/>
        <v>49</v>
      </c>
      <c r="V25" s="2">
        <f ca="1"/>
        <v>2</v>
      </c>
      <c r="W25" s="2">
        <f ca="1"/>
        <v>3</v>
      </c>
      <c r="X25" s="2">
        <f ca="1"/>
        <v>3</v>
      </c>
      <c r="Y25" s="2">
        <f ca="1"/>
        <v>3</v>
      </c>
      <c r="Z25" s="2">
        <f ca="1"/>
        <v>2</v>
      </c>
      <c r="AB25" s="20">
        <f ca="1"/>
        <v>-0.13</v>
      </c>
      <c r="AC25" s="20">
        <f ca="1"/>
        <v>0.17</v>
      </c>
      <c r="AD25" s="20">
        <f ca="1"/>
        <v>-1.0000000000000009E-2</v>
      </c>
      <c r="AE25" s="20">
        <f ca="1"/>
        <v>-0.03</v>
      </c>
      <c r="AF25" s="20">
        <f ca="1"/>
        <v>0.27</v>
      </c>
      <c r="AG25" s="20">
        <f ca="1"/>
        <v>-0.31000000000000005</v>
      </c>
      <c r="AH25" s="20">
        <f ca="1"/>
        <v>-0.73</v>
      </c>
      <c r="AI25" s="20">
        <f ca="1"/>
        <v>-0.92999999999999994</v>
      </c>
      <c r="AJ25" s="20">
        <f ca="1"/>
        <v>-0.03</v>
      </c>
      <c r="AK25" s="20">
        <f ca="1"/>
        <v>-0.78</v>
      </c>
      <c r="AM25" s="20">
        <f ca="1"/>
        <v>-5.600000000000005E-2</v>
      </c>
      <c r="AO25" s="20">
        <f ca="1"/>
        <v>0.24497680767031527</v>
      </c>
      <c r="AP25" s="20">
        <v>0</v>
      </c>
      <c r="AS25" s="20">
        <f ca="1"/>
        <v>0.24</v>
      </c>
      <c r="AU25" s="20">
        <f ca="1"/>
        <v>0.05</v>
      </c>
      <c r="AV25" s="20">
        <f ca="1"/>
        <v>0.05</v>
      </c>
      <c r="AW25" s="20">
        <f ca="1"/>
        <v>0.06</v>
      </c>
      <c r="AX25" s="20">
        <f ca="1"/>
        <v>0.05</v>
      </c>
      <c r="AY25" s="20">
        <f ca="1"/>
        <v>0.05</v>
      </c>
      <c r="AZ25" s="20">
        <f ca="1"/>
        <v>0.06</v>
      </c>
      <c r="BA25" s="20">
        <f ca="1"/>
        <v>0.05</v>
      </c>
      <c r="BB25" s="20">
        <f ca="1"/>
        <v>0.05</v>
      </c>
      <c r="BC25" s="20">
        <f ca="1"/>
        <v>0.05</v>
      </c>
      <c r="BD25" s="20">
        <f ca="1"/>
        <v>-0.12</v>
      </c>
    </row>
    <row r="26" spans="6:56" ht="17" customHeight="1" x14ac:dyDescent="0.2">
      <c r="F26" s="4">
        <v>22</v>
      </c>
      <c r="G26" s="2">
        <f ca="1"/>
        <v>3</v>
      </c>
      <c r="H26" s="2">
        <f ca="1"/>
        <v>4</v>
      </c>
      <c r="I26" s="2">
        <f ca="1"/>
        <v>5</v>
      </c>
      <c r="J26" s="2">
        <f ca="1"/>
        <v>35</v>
      </c>
      <c r="K26" s="2">
        <f ca="1"/>
        <v>53</v>
      </c>
      <c r="L26" s="2">
        <f ca="1"/>
        <v>43</v>
      </c>
      <c r="M26" s="2">
        <f ca="1"/>
        <v>45</v>
      </c>
      <c r="N26" s="2">
        <f ca="1"/>
        <v>58</v>
      </c>
      <c r="O26" s="2">
        <f ca="1"/>
        <v>56</v>
      </c>
      <c r="P26" s="2">
        <f ca="1"/>
        <v>60</v>
      </c>
      <c r="Q26" s="2">
        <f ca="1"/>
        <v>71</v>
      </c>
      <c r="R26" s="2">
        <f ca="1"/>
        <v>47</v>
      </c>
      <c r="S26" s="2">
        <f ca="1"/>
        <v>38</v>
      </c>
      <c r="T26" s="2">
        <f ca="1"/>
        <v>34</v>
      </c>
      <c r="U26" s="2">
        <f ca="1"/>
        <v>19</v>
      </c>
      <c r="V26" s="2">
        <f ca="1"/>
        <v>3</v>
      </c>
      <c r="W26" s="2">
        <f ca="1"/>
        <v>3</v>
      </c>
      <c r="X26" s="2">
        <f ca="1"/>
        <v>3</v>
      </c>
      <c r="Y26" s="2">
        <f ca="1"/>
        <v>3</v>
      </c>
      <c r="Z26" s="2">
        <f ca="1"/>
        <v>2</v>
      </c>
      <c r="AB26" s="20">
        <f ca="1"/>
        <v>-0.52</v>
      </c>
      <c r="AC26" s="20">
        <f ca="1"/>
        <v>-0.72000000000000008</v>
      </c>
      <c r="AD26" s="20">
        <f ca="1"/>
        <v>0.91</v>
      </c>
      <c r="AE26" s="20">
        <f ca="1"/>
        <v>-0.72000000000000008</v>
      </c>
      <c r="AF26" s="20">
        <f ca="1"/>
        <v>-0.62</v>
      </c>
      <c r="AG26" s="20">
        <f ca="1"/>
        <v>-9.0000000000000011E-2</v>
      </c>
      <c r="AH26" s="20">
        <f ca="1"/>
        <v>-0.12000000000000001</v>
      </c>
      <c r="AI26" s="20">
        <f ca="1"/>
        <v>0.18</v>
      </c>
      <c r="AJ26" s="20">
        <f ca="1"/>
        <v>0.08</v>
      </c>
      <c r="AK26" s="20">
        <f ca="1"/>
        <v>-0.51</v>
      </c>
      <c r="AM26" s="20">
        <f ca="1"/>
        <v>5.6000000000000161E-2</v>
      </c>
      <c r="AO26" s="20">
        <f ca="1"/>
        <v>0.27400970993901547</v>
      </c>
      <c r="AP26" s="20">
        <v>0</v>
      </c>
      <c r="AS26" s="20">
        <f ca="1"/>
        <v>0.27</v>
      </c>
      <c r="AU26" s="20">
        <f ca="1"/>
        <v>0.05</v>
      </c>
      <c r="AV26" s="20">
        <f ca="1"/>
        <v>0.05</v>
      </c>
      <c r="AW26" s="20">
        <f ca="1"/>
        <v>7.0000000000000007E-2</v>
      </c>
      <c r="AX26" s="20">
        <f ca="1"/>
        <v>0.05</v>
      </c>
      <c r="AY26" s="20">
        <f ca="1"/>
        <v>0.05</v>
      </c>
      <c r="AZ26" s="20">
        <f ca="1"/>
        <v>7.0000000000000007E-2</v>
      </c>
      <c r="BA26" s="20">
        <f ca="1"/>
        <v>0.05</v>
      </c>
      <c r="BB26" s="20">
        <f ca="1"/>
        <v>0.05</v>
      </c>
      <c r="BC26" s="20">
        <f ca="1"/>
        <v>0.05</v>
      </c>
      <c r="BD26" s="20">
        <f ca="1"/>
        <v>-0.14000000000000001</v>
      </c>
    </row>
    <row r="27" spans="6:56" ht="17" customHeight="1" x14ac:dyDescent="0.2">
      <c r="F27" s="4">
        <v>23</v>
      </c>
      <c r="G27" s="2">
        <f ca="1"/>
        <v>2</v>
      </c>
      <c r="H27" s="2">
        <f ca="1"/>
        <v>4</v>
      </c>
      <c r="I27" s="2">
        <f ca="1"/>
        <v>4</v>
      </c>
      <c r="J27" s="2">
        <f ca="1"/>
        <v>16</v>
      </c>
      <c r="K27" s="2">
        <f ca="1"/>
        <v>41</v>
      </c>
      <c r="L27" s="2">
        <f ca="1"/>
        <v>41</v>
      </c>
      <c r="M27" s="2">
        <f ca="1"/>
        <v>42</v>
      </c>
      <c r="N27" s="2">
        <f ca="1"/>
        <v>52</v>
      </c>
      <c r="O27" s="2">
        <f ca="1"/>
        <v>46</v>
      </c>
      <c r="P27" s="2">
        <f ca="1"/>
        <v>45</v>
      </c>
      <c r="Q27" s="2">
        <f ca="1"/>
        <v>44</v>
      </c>
      <c r="R27" s="2">
        <f ca="1"/>
        <v>34</v>
      </c>
      <c r="S27" s="2">
        <f ca="1"/>
        <v>32</v>
      </c>
      <c r="T27" s="2">
        <f ca="1"/>
        <v>25</v>
      </c>
      <c r="U27" s="2">
        <f ca="1"/>
        <v>8</v>
      </c>
      <c r="V27" s="2">
        <f ca="1"/>
        <v>3</v>
      </c>
      <c r="W27" s="2">
        <f ca="1"/>
        <v>3</v>
      </c>
      <c r="X27" s="2">
        <f ca="1"/>
        <v>2</v>
      </c>
      <c r="Y27" s="2">
        <f ca="1"/>
        <v>3</v>
      </c>
      <c r="Z27" s="2">
        <f ca="1"/>
        <v>2</v>
      </c>
      <c r="AB27" s="20">
        <f ca="1"/>
        <v>-0.17</v>
      </c>
      <c r="AC27" s="20">
        <f ca="1"/>
        <v>0.93</v>
      </c>
      <c r="AD27" s="20">
        <f ca="1"/>
        <v>0.84000000000000008</v>
      </c>
      <c r="AE27" s="20">
        <f ca="1"/>
        <v>-7.0000000000000007E-2</v>
      </c>
      <c r="AF27" s="20">
        <f ca="1"/>
        <v>-0.37</v>
      </c>
      <c r="AG27" s="20">
        <f ca="1"/>
        <v>0.54</v>
      </c>
      <c r="AH27" s="20">
        <f ca="1"/>
        <v>-0.56999999999999995</v>
      </c>
      <c r="AI27" s="20">
        <f ca="1"/>
        <v>0.93</v>
      </c>
      <c r="AJ27" s="20">
        <f ca="1"/>
        <v>-0.17</v>
      </c>
      <c r="AK27" s="20">
        <f ca="1"/>
        <v>0.22999999999999998</v>
      </c>
      <c r="AM27" s="20">
        <f ca="1"/>
        <v>-0.66400000000000015</v>
      </c>
      <c r="AO27" s="20">
        <f ca="1"/>
        <v>0.13337484446775319</v>
      </c>
      <c r="AP27" s="20">
        <v>0</v>
      </c>
      <c r="AS27" s="20">
        <f ca="1"/>
        <v>0.13</v>
      </c>
      <c r="AU27" s="20">
        <f ca="1"/>
        <v>0.03</v>
      </c>
      <c r="AV27" s="20">
        <f ca="1"/>
        <v>0.03</v>
      </c>
      <c r="AW27" s="20">
        <f ca="1"/>
        <v>0.03</v>
      </c>
      <c r="AX27" s="20">
        <f ca="1"/>
        <v>0.03</v>
      </c>
      <c r="AY27" s="20">
        <f ca="1"/>
        <v>0.03</v>
      </c>
      <c r="AZ27" s="20">
        <f ca="1"/>
        <v>0.03</v>
      </c>
      <c r="BA27" s="20">
        <f ca="1"/>
        <v>0.03</v>
      </c>
      <c r="BB27" s="20">
        <f ca="1"/>
        <v>0.03</v>
      </c>
      <c r="BC27" s="20">
        <f ca="1"/>
        <v>0.03</v>
      </c>
      <c r="BD27" s="20">
        <f ca="1"/>
        <v>-7.0000000000000007E-2</v>
      </c>
    </row>
    <row r="28" spans="6:56" ht="17" customHeight="1" x14ac:dyDescent="0.2">
      <c r="F28" s="4">
        <v>24</v>
      </c>
      <c r="G28" s="2">
        <f ca="1"/>
        <v>2</v>
      </c>
      <c r="H28" s="2">
        <f ca="1"/>
        <v>3</v>
      </c>
      <c r="I28" s="2">
        <f ca="1"/>
        <v>3</v>
      </c>
      <c r="J28" s="2">
        <f ca="1"/>
        <v>16</v>
      </c>
      <c r="K28" s="2">
        <f ca="1"/>
        <v>36</v>
      </c>
      <c r="L28" s="2">
        <f ca="1"/>
        <v>35</v>
      </c>
      <c r="M28" s="2">
        <f ca="1"/>
        <v>38</v>
      </c>
      <c r="N28" s="2">
        <f ca="1"/>
        <v>44</v>
      </c>
      <c r="O28" s="2">
        <f ca="1"/>
        <v>39</v>
      </c>
      <c r="P28" s="2">
        <f ca="1"/>
        <v>40</v>
      </c>
      <c r="Q28" s="2">
        <f ca="1"/>
        <v>42</v>
      </c>
      <c r="R28" s="2">
        <f ca="1"/>
        <v>29</v>
      </c>
      <c r="S28" s="2">
        <f ca="1"/>
        <v>26</v>
      </c>
      <c r="T28" s="2">
        <f ca="1"/>
        <v>19</v>
      </c>
      <c r="U28" s="2">
        <f ca="1"/>
        <v>5</v>
      </c>
      <c r="V28" s="2">
        <f ca="1"/>
        <v>3</v>
      </c>
      <c r="W28" s="2">
        <f ca="1"/>
        <v>2</v>
      </c>
      <c r="X28" s="2">
        <f ca="1"/>
        <v>2</v>
      </c>
      <c r="Y28" s="2">
        <f ca="1"/>
        <v>2</v>
      </c>
      <c r="Z28" s="2">
        <f ca="1"/>
        <v>2</v>
      </c>
    </row>
    <row r="29" spans="6:56" ht="17" customHeight="1" x14ac:dyDescent="0.2">
      <c r="AB29" s="151" t="s">
        <v>50</v>
      </c>
      <c r="AC29" s="3"/>
    </row>
    <row r="30" spans="6:56" ht="17" customHeight="1" x14ac:dyDescent="0.2">
      <c r="AB30" s="2" t="s">
        <v>11</v>
      </c>
      <c r="AK30" s="2" t="s">
        <v>12</v>
      </c>
      <c r="AM30" s="2" t="s">
        <v>2</v>
      </c>
      <c r="AO30" s="18" t="s">
        <v>115</v>
      </c>
      <c r="AP30" s="2" t="s">
        <v>92</v>
      </c>
      <c r="AQ30" s="2" t="s">
        <v>5</v>
      </c>
      <c r="AS30" s="136" t="s">
        <v>94</v>
      </c>
      <c r="AU30" s="136" t="s">
        <v>90</v>
      </c>
      <c r="BD30" s="2" t="s">
        <v>91</v>
      </c>
    </row>
    <row r="31" spans="6:56" ht="17" customHeight="1" x14ac:dyDescent="0.2">
      <c r="AB31" s="20" cm="1">
        <f t="array" aca="1" ref="AB31:AK34" ca="1">_xlfn.ANCHORARRAY(AB24)+_xlfn.ANCHORARRAY(AU24)</f>
        <v>-1.0099999999999998</v>
      </c>
      <c r="AC31" s="20">
        <f ca="1"/>
        <v>-1.0000000000000009E-2</v>
      </c>
      <c r="AD31" s="20">
        <f ca="1"/>
        <v>1.0000000000000009E-2</v>
      </c>
      <c r="AE31" s="20">
        <f ca="1"/>
        <v>-1.1099999999999999</v>
      </c>
      <c r="AF31" s="20">
        <f ca="1"/>
        <v>-1.0000000000000009E-2</v>
      </c>
      <c r="AG31" s="20">
        <f ca="1"/>
        <v>-0.99</v>
      </c>
      <c r="AH31" s="20">
        <f ca="1"/>
        <v>0.28999999999999998</v>
      </c>
      <c r="AI31" s="20">
        <f ca="1"/>
        <v>-0.31</v>
      </c>
      <c r="AJ31" s="20">
        <f ca="1"/>
        <v>0.4900000000000001</v>
      </c>
      <c r="AK31" s="20">
        <f ca="1"/>
        <v>-1.0000000000000009E-2</v>
      </c>
      <c r="AM31" s="20" cm="1">
        <f t="array" aca="1" ref="AM31:AM34" ca="1">MMULT(_xlfn.ANCHORARRAY(AB31),AM5:AM14)</f>
        <v>1.1479999999999999</v>
      </c>
      <c r="AO31" s="20" cm="1">
        <f t="array" aca="1" ref="AO31:AO34" ca="1">EXP(_xlfn.ANCHORARRAY(AM31))/SUM(EXP(_xlfn.ANCHORARRAY(AM31)))</f>
        <v>0.62886323578607795</v>
      </c>
      <c r="AP31" s="20" cm="1">
        <f t="array" ref="AP31:AP34">_xlfn.ANCHORARRAY($E$10)</f>
        <v>1</v>
      </c>
      <c r="AQ31" s="85" cm="1">
        <f t="array" aca="1" ref="AQ31" ca="1">-SUMPRODUCT(_xlfn.ANCHORARRAY(AP31), LN(_xlfn.ANCHORARRAY(AO31)))</f>
        <v>0.46384147710598911</v>
      </c>
      <c r="AS31" s="20" cm="1">
        <f t="array" aca="1" ref="AS31:AS34" ca="1">ROUND(_xlfn.ANCHORARRAY(AO31)-AP31:AP34,2)</f>
        <v>-0.37</v>
      </c>
      <c r="AU31" s="20" cm="1">
        <f t="array" aca="1" ref="AU31:BD34" ca="1">ROUND(-$AV$11*MMULT(_xlfn.ANCHORARRAY(AS31),_xlfn.ANCHORARRAY(AU14)),2)</f>
        <v>-7.0000000000000007E-2</v>
      </c>
      <c r="AV31" s="20">
        <f ca="1"/>
        <v>-7.0000000000000007E-2</v>
      </c>
      <c r="AW31" s="20">
        <f ca="1"/>
        <v>-0.09</v>
      </c>
      <c r="AX31" s="20">
        <f ca="1"/>
        <v>-7.0000000000000007E-2</v>
      </c>
      <c r="AY31" s="20">
        <f ca="1"/>
        <v>-7.0000000000000007E-2</v>
      </c>
      <c r="AZ31" s="20">
        <f ca="1"/>
        <v>-0.09</v>
      </c>
      <c r="BA31" s="20">
        <f ca="1"/>
        <v>-7.0000000000000007E-2</v>
      </c>
      <c r="BB31" s="20">
        <f ca="1"/>
        <v>-7.0000000000000007E-2</v>
      </c>
      <c r="BC31" s="20">
        <f ca="1"/>
        <v>-7.0000000000000007E-2</v>
      </c>
      <c r="BD31" s="20">
        <f ca="1"/>
        <v>0.19</v>
      </c>
    </row>
    <row r="32" spans="6:56" ht="17" customHeight="1" x14ac:dyDescent="0.2">
      <c r="AB32" s="20">
        <f ca="1"/>
        <v>-0.08</v>
      </c>
      <c r="AC32" s="20">
        <f ca="1"/>
        <v>0.22000000000000003</v>
      </c>
      <c r="AD32" s="20">
        <f ca="1"/>
        <v>4.9999999999999989E-2</v>
      </c>
      <c r="AE32" s="20">
        <f ca="1"/>
        <v>2.0000000000000004E-2</v>
      </c>
      <c r="AF32" s="20">
        <f ca="1"/>
        <v>0.32</v>
      </c>
      <c r="AG32" s="20">
        <f ca="1"/>
        <v>-0.25000000000000006</v>
      </c>
      <c r="AH32" s="20">
        <f ca="1"/>
        <v>-0.67999999999999994</v>
      </c>
      <c r="AI32" s="20">
        <f ca="1"/>
        <v>-0.87999999999999989</v>
      </c>
      <c r="AJ32" s="20">
        <f ca="1"/>
        <v>2.0000000000000004E-2</v>
      </c>
      <c r="AK32" s="20">
        <f ca="1"/>
        <v>-0.9</v>
      </c>
      <c r="AM32" s="20">
        <f ca="1"/>
        <v>-0.37600000000000011</v>
      </c>
      <c r="AO32" s="20">
        <f ca="1"/>
        <v>0.13699080432720756</v>
      </c>
      <c r="AP32" s="20">
        <v>0</v>
      </c>
      <c r="AS32" s="20">
        <f ca="1"/>
        <v>0.14000000000000001</v>
      </c>
      <c r="AU32" s="20">
        <f ca="1"/>
        <v>0.03</v>
      </c>
      <c r="AV32" s="20">
        <f ca="1"/>
        <v>0.03</v>
      </c>
      <c r="AW32" s="20">
        <f ca="1"/>
        <v>0.04</v>
      </c>
      <c r="AX32" s="20">
        <f ca="1"/>
        <v>0.03</v>
      </c>
      <c r="AY32" s="20">
        <f ca="1"/>
        <v>0.03</v>
      </c>
      <c r="AZ32" s="20">
        <f ca="1"/>
        <v>0.04</v>
      </c>
      <c r="BA32" s="20">
        <f ca="1"/>
        <v>0.03</v>
      </c>
      <c r="BB32" s="20">
        <f ca="1"/>
        <v>0.03</v>
      </c>
      <c r="BC32" s="20">
        <f ca="1"/>
        <v>0.03</v>
      </c>
      <c r="BD32" s="20">
        <f ca="1"/>
        <v>-7.0000000000000007E-2</v>
      </c>
    </row>
    <row r="33" spans="28:56" ht="17" customHeight="1" x14ac:dyDescent="0.2">
      <c r="AB33" s="20">
        <f ca="1"/>
        <v>-0.47000000000000003</v>
      </c>
      <c r="AC33" s="20">
        <f ca="1"/>
        <v>-0.67</v>
      </c>
      <c r="AD33" s="20">
        <f ca="1"/>
        <v>0.98</v>
      </c>
      <c r="AE33" s="20">
        <f ca="1"/>
        <v>-0.67</v>
      </c>
      <c r="AF33" s="20">
        <f ca="1"/>
        <v>-0.56999999999999995</v>
      </c>
      <c r="AG33" s="20">
        <f ca="1"/>
        <v>-2.0000000000000004E-2</v>
      </c>
      <c r="AH33" s="20">
        <f ca="1"/>
        <v>-7.0000000000000007E-2</v>
      </c>
      <c r="AI33" s="20">
        <f ca="1"/>
        <v>0.22999999999999998</v>
      </c>
      <c r="AJ33" s="20">
        <f ca="1"/>
        <v>0.13</v>
      </c>
      <c r="AK33" s="20">
        <f ca="1"/>
        <v>-0.65</v>
      </c>
      <c r="AM33" s="20">
        <f ca="1"/>
        <v>-0.29399999999999987</v>
      </c>
      <c r="AO33" s="20">
        <f ca="1"/>
        <v>0.14869746445019041</v>
      </c>
      <c r="AP33" s="20">
        <v>0</v>
      </c>
      <c r="AS33" s="20">
        <f ca="1"/>
        <v>0.15</v>
      </c>
      <c r="AU33" s="20">
        <f ca="1"/>
        <v>0.03</v>
      </c>
      <c r="AV33" s="20">
        <f ca="1"/>
        <v>0.03</v>
      </c>
      <c r="AW33" s="20">
        <f ca="1"/>
        <v>0.04</v>
      </c>
      <c r="AX33" s="20">
        <f ca="1"/>
        <v>0.03</v>
      </c>
      <c r="AY33" s="20">
        <f ca="1"/>
        <v>0.03</v>
      </c>
      <c r="AZ33" s="20">
        <f ca="1"/>
        <v>0.04</v>
      </c>
      <c r="BA33" s="20">
        <f ca="1"/>
        <v>0.03</v>
      </c>
      <c r="BB33" s="20">
        <f ca="1"/>
        <v>0.03</v>
      </c>
      <c r="BC33" s="20">
        <f ca="1"/>
        <v>0.03</v>
      </c>
      <c r="BD33" s="20">
        <f ca="1"/>
        <v>-0.08</v>
      </c>
    </row>
    <row r="34" spans="28:56" ht="17" customHeight="1" x14ac:dyDescent="0.2">
      <c r="AB34" s="20">
        <f ca="1"/>
        <v>-0.14000000000000001</v>
      </c>
      <c r="AC34" s="20">
        <f ca="1"/>
        <v>0.96000000000000008</v>
      </c>
      <c r="AD34" s="20">
        <f ca="1"/>
        <v>0.87000000000000011</v>
      </c>
      <c r="AE34" s="20">
        <f ca="1"/>
        <v>-4.0000000000000008E-2</v>
      </c>
      <c r="AF34" s="20">
        <f ca="1"/>
        <v>-0.33999999999999997</v>
      </c>
      <c r="AG34" s="20">
        <f ca="1"/>
        <v>0.57000000000000006</v>
      </c>
      <c r="AH34" s="20">
        <f ca="1"/>
        <v>-0.53999999999999992</v>
      </c>
      <c r="AI34" s="20">
        <f ca="1"/>
        <v>0.96000000000000008</v>
      </c>
      <c r="AJ34" s="20">
        <f ca="1"/>
        <v>-0.14000000000000001</v>
      </c>
      <c r="AK34" s="20">
        <f ca="1"/>
        <v>0.15999999999999998</v>
      </c>
      <c r="AM34" s="20">
        <f ca="1"/>
        <v>-0.84800000000000031</v>
      </c>
      <c r="AO34" s="20">
        <f ca="1"/>
        <v>8.5448495436524094E-2</v>
      </c>
      <c r="AP34" s="20">
        <v>0</v>
      </c>
      <c r="AS34" s="20">
        <f ca="1"/>
        <v>0.09</v>
      </c>
      <c r="AU34" s="20">
        <f ca="1"/>
        <v>0.02</v>
      </c>
      <c r="AV34" s="20">
        <f ca="1"/>
        <v>0.02</v>
      </c>
      <c r="AW34" s="20">
        <f ca="1"/>
        <v>0.02</v>
      </c>
      <c r="AX34" s="20">
        <f ca="1"/>
        <v>0.02</v>
      </c>
      <c r="AY34" s="20">
        <f ca="1"/>
        <v>0.02</v>
      </c>
      <c r="AZ34" s="20">
        <f ca="1"/>
        <v>0.02</v>
      </c>
      <c r="BA34" s="20">
        <f ca="1"/>
        <v>0.02</v>
      </c>
      <c r="BB34" s="20">
        <f ca="1"/>
        <v>0.02</v>
      </c>
      <c r="BC34" s="20">
        <f ca="1"/>
        <v>0.02</v>
      </c>
      <c r="BD34" s="20">
        <f ca="1"/>
        <v>-0.05</v>
      </c>
    </row>
    <row r="43" spans="28:56" ht="17" customHeight="1" x14ac:dyDescent="0.2">
      <c r="AP43" s="181" t="s">
        <v>126</v>
      </c>
      <c r="AQ43" s="182" t="s">
        <v>5</v>
      </c>
    </row>
    <row r="44" spans="28:56" ht="17" customHeight="1" x14ac:dyDescent="0.2">
      <c r="AP44" s="18">
        <v>1</v>
      </c>
      <c r="AQ44" s="178">
        <f ca="1">AQ17</f>
        <v>2.3725886821028257</v>
      </c>
    </row>
    <row r="45" spans="28:56" ht="17" customHeight="1" x14ac:dyDescent="0.2">
      <c r="AP45" s="18">
        <v>2</v>
      </c>
      <c r="AQ45" s="178">
        <f ca="1">AQ24</f>
        <v>1.0565917354883356</v>
      </c>
    </row>
    <row r="46" spans="28:56" ht="17" customHeight="1" x14ac:dyDescent="0.2">
      <c r="AP46" s="179">
        <v>3</v>
      </c>
      <c r="AQ46" s="180">
        <f ca="1">AQ31</f>
        <v>0.46384147710598911</v>
      </c>
    </row>
  </sheetData>
  <conditionalFormatting sqref="E10:E13">
    <cfRule type="dataBar" priority="3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{E1308135-A926-264E-B4DB-9CB5A653BB5A}</x14:id>
        </ext>
      </extLst>
    </cfRule>
  </conditionalFormatting>
  <conditionalFormatting sqref="AB17:AK20">
    <cfRule type="colorScale" priority="53">
      <colorScale>
        <cfvo type="num" val="-1"/>
        <cfvo type="num" val="1"/>
        <color rgb="FFFF7128"/>
        <color rgb="FFFFEF9C"/>
      </colorScale>
    </cfRule>
  </conditionalFormatting>
  <conditionalFormatting sqref="AB24:AK27">
    <cfRule type="colorScale" priority="11">
      <colorScale>
        <cfvo type="num" val="-1"/>
        <cfvo type="num" val="1"/>
        <color rgb="FFFF7128"/>
        <color rgb="FFFFEF9C"/>
      </colorScale>
    </cfRule>
  </conditionalFormatting>
  <conditionalFormatting sqref="AB31:AK34">
    <cfRule type="colorScale" priority="5">
      <colorScale>
        <cfvo type="num" val="-1"/>
        <cfvo type="num" val="1"/>
        <color rgb="FFFF7128"/>
        <color rgb="FFFFEF9C"/>
      </colorScale>
    </cfRule>
  </conditionalFormatting>
  <conditionalFormatting sqref="AE5:AG7 AV4:AX5 G5:Z28 G51:Z1048576">
    <cfRule type="colorScale" priority="55">
      <colorScale>
        <cfvo type="num" val="0"/>
        <cfvo type="num" val="255"/>
        <color theme="1" tint="0.249977111117893"/>
        <color theme="0"/>
      </colorScale>
    </cfRule>
  </conditionalFormatting>
  <conditionalFormatting sqref="AM17:AM20">
    <cfRule type="colorScale" priority="35">
      <colorScale>
        <cfvo type="num" val="-1"/>
        <cfvo type="num" val="1"/>
        <color rgb="FFFF7128"/>
        <color rgb="FFFFEF9C"/>
      </colorScale>
    </cfRule>
  </conditionalFormatting>
  <conditionalFormatting sqref="AM24:AM27">
    <cfRule type="colorScale" priority="9">
      <colorScale>
        <cfvo type="num" val="-1"/>
        <cfvo type="num" val="1"/>
        <color rgb="FFFF7128"/>
        <color rgb="FFFFEF9C"/>
      </colorScale>
    </cfRule>
  </conditionalFormatting>
  <conditionalFormatting sqref="AM31:AM34">
    <cfRule type="colorScale" priority="3">
      <colorScale>
        <cfvo type="num" val="-1"/>
        <cfvo type="num" val="1"/>
        <color rgb="FFFF7128"/>
        <color rgb="FFFFEF9C"/>
      </colorScale>
    </cfRule>
  </conditionalFormatting>
  <conditionalFormatting sqref="AO17:AO20">
    <cfRule type="dataBar" priority="2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{C64B51FF-706B-E345-A181-8030EF802D77}</x14:id>
        </ext>
      </extLst>
    </cfRule>
  </conditionalFormatting>
  <conditionalFormatting sqref="AO24:AO27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{C85B8252-B768-424F-8511-DA7FC40FDF02}</x14:id>
        </ext>
      </extLst>
    </cfRule>
  </conditionalFormatting>
  <conditionalFormatting sqref="AO31:AO34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{1C407A74-2F74-E842-B0A7-76B1DEA85C93}</x14:id>
        </ext>
      </extLst>
    </cfRule>
  </conditionalFormatting>
  <conditionalFormatting sqref="AP17:AP20">
    <cfRule type="dataBar" priority="4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{85FBC375-657D-A041-BE85-2994ECD3FD05}</x14:id>
        </ext>
      </extLst>
    </cfRule>
  </conditionalFormatting>
  <conditionalFormatting sqref="AP24:AP27">
    <cfRule type="dataBar" priority="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{C193E430-64B1-E645-B09E-259031DFD1A1}</x14:id>
        </ext>
      </extLst>
    </cfRule>
  </conditionalFormatting>
  <conditionalFormatting sqref="AP31:AP34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{59367E5E-3777-394F-84F5-A7295F8226AF}</x14:id>
        </ext>
      </extLst>
    </cfRule>
  </conditionalFormatting>
  <conditionalFormatting sqref="AS17:AS20">
    <cfRule type="colorScale" priority="21">
      <colorScale>
        <cfvo type="num" val="-1"/>
        <cfvo type="num" val="1"/>
        <color rgb="FFFF7128"/>
        <color rgb="FFFFEF9C"/>
      </colorScale>
    </cfRule>
  </conditionalFormatting>
  <conditionalFormatting sqref="AS24:AS27">
    <cfRule type="colorScale" priority="7">
      <colorScale>
        <cfvo type="num" val="-1"/>
        <cfvo type="num" val="1"/>
        <color rgb="FFFF7128"/>
        <color rgb="FFFFEF9C"/>
      </colorScale>
    </cfRule>
  </conditionalFormatting>
  <conditionalFormatting sqref="AS31:AS34">
    <cfRule type="colorScale" priority="1">
      <colorScale>
        <cfvo type="num" val="-1"/>
        <cfvo type="num" val="1"/>
        <color rgb="FFFF7128"/>
        <color rgb="FFFFEF9C"/>
      </colorScale>
    </cfRule>
  </conditionalFormatting>
  <conditionalFormatting sqref="AU14:BD14 AI5:AK7 AM5:AM14">
    <cfRule type="colorScale" priority="54">
      <colorScale>
        <cfvo type="num" val="-1"/>
        <cfvo type="num" val="1"/>
        <color theme="1" tint="0.249977111117893"/>
        <color theme="0"/>
      </colorScale>
    </cfRule>
  </conditionalFormatting>
  <conditionalFormatting sqref="AU17:BD20">
    <cfRule type="colorScale" priority="140">
      <colorScale>
        <cfvo type="num" val="0"/>
        <cfvo type="percentile" val="50"/>
        <cfvo type="max"/>
        <color theme="3" tint="0.89999084444715716"/>
        <color theme="3" tint="0.749992370372631"/>
        <color theme="3" tint="0.499984740745262"/>
      </colorScale>
    </cfRule>
  </conditionalFormatting>
  <conditionalFormatting sqref="AU24:BD27">
    <cfRule type="colorScale" priority="12">
      <colorScale>
        <cfvo type="num" val="0"/>
        <cfvo type="percentile" val="50"/>
        <cfvo type="max"/>
        <color theme="3" tint="0.89999084444715716"/>
        <color theme="3" tint="0.749992370372631"/>
        <color theme="3" tint="0.499984740745262"/>
      </colorScale>
    </cfRule>
  </conditionalFormatting>
  <conditionalFormatting sqref="AU31:BD34">
    <cfRule type="colorScale" priority="6">
      <colorScale>
        <cfvo type="num" val="0"/>
        <cfvo type="percentile" val="50"/>
        <cfvo type="max"/>
        <color theme="3" tint="0.89999084444715716"/>
        <color theme="3" tint="0.749992370372631"/>
        <color theme="3" tint="0.499984740745262"/>
      </colorScale>
    </cfRule>
  </conditionalFormatting>
  <conditionalFormatting sqref="BE16:BE17">
    <cfRule type="colorScale" priority="139">
      <colorScale>
        <cfvo type="min"/>
        <cfvo type="max"/>
        <color rgb="FFFCFCFF"/>
        <color rgb="FFF8696B"/>
      </colorScale>
    </cfRule>
  </conditionalFormatting>
  <dataValidations disablePrompts="1" count="2">
    <dataValidation type="list" allowBlank="1" showInputMessage="1" showErrorMessage="1" sqref="E7" xr:uid="{E37A3EA6-B51F-864A-AD2F-9D9CC6131988}">
      <formula1>Samples</formula1>
    </dataValidation>
    <dataValidation type="list" allowBlank="1" showInputMessage="1" showErrorMessage="1" sqref="E6" xr:uid="{D4527742-683B-A449-BC2B-5472CEC65905}">
      <formula1>Classes</formula1>
    </dataValidation>
  </dataValidations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1308135-A926-264E-B4DB-9CB5A653BB5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E10:E13</xm:sqref>
        </x14:conditionalFormatting>
        <x14:conditionalFormatting xmlns:xm="http://schemas.microsoft.com/office/excel/2006/main">
          <x14:cfRule type="dataBar" id="{C64B51FF-706B-E345-A181-8030EF802D7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AO17:AO20</xm:sqref>
        </x14:conditionalFormatting>
        <x14:conditionalFormatting xmlns:xm="http://schemas.microsoft.com/office/excel/2006/main">
          <x14:cfRule type="dataBar" id="{C85B8252-B768-424F-8511-DA7FC40FDF0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AO24:AO27</xm:sqref>
        </x14:conditionalFormatting>
        <x14:conditionalFormatting xmlns:xm="http://schemas.microsoft.com/office/excel/2006/main">
          <x14:cfRule type="dataBar" id="{1C407A74-2F74-E842-B0A7-76B1DEA85C9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AO31:AO34</xm:sqref>
        </x14:conditionalFormatting>
        <x14:conditionalFormatting xmlns:xm="http://schemas.microsoft.com/office/excel/2006/main">
          <x14:cfRule type="dataBar" id="{85FBC375-657D-A041-BE85-2994ECD3FD0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AP17:AP20</xm:sqref>
        </x14:conditionalFormatting>
        <x14:conditionalFormatting xmlns:xm="http://schemas.microsoft.com/office/excel/2006/main">
          <x14:cfRule type="dataBar" id="{C193E430-64B1-E645-B09E-259031DFD1A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AP24:AP27</xm:sqref>
        </x14:conditionalFormatting>
        <x14:conditionalFormatting xmlns:xm="http://schemas.microsoft.com/office/excel/2006/main">
          <x14:cfRule type="dataBar" id="{59367E5E-3777-394F-84F5-A7295F8226A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AP31:AP34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D7D52B-CA01-5C43-A04A-4FEA636DC547}">
  <sheetPr>
    <tabColor theme="5" tint="-0.249977111117893"/>
  </sheetPr>
  <dimension ref="A2:BE145"/>
  <sheetViews>
    <sheetView showGridLines="0" showRowColHeaders="0" tabSelected="1" topLeftCell="I99" zoomScale="62" zoomScaleNormal="165" workbookViewId="0">
      <selection activeCell="AW139" sqref="AW139"/>
    </sheetView>
  </sheetViews>
  <sheetFormatPr baseColWidth="10" defaultColWidth="4.33203125" defaultRowHeight="17" customHeight="1" x14ac:dyDescent="0.2"/>
  <cols>
    <col min="1" max="3" width="4.33203125" style="2"/>
    <col min="4" max="4" width="4.33203125" style="16"/>
    <col min="5" max="6" width="4.33203125" style="4"/>
    <col min="7" max="7" width="4.33203125" style="2"/>
    <col min="8" max="26" width="4.5" style="2" bestFit="1" customWidth="1"/>
    <col min="27" max="27" width="4.33203125" style="2"/>
    <col min="28" max="33" width="4.5" style="2" bestFit="1" customWidth="1"/>
    <col min="34" max="34" width="5" style="2" bestFit="1" customWidth="1"/>
    <col min="35" max="37" width="4.5" style="2" bestFit="1" customWidth="1"/>
    <col min="38" max="38" width="4.33203125" style="2"/>
    <col min="39" max="39" width="4.5" style="2" bestFit="1" customWidth="1"/>
    <col min="40" max="40" width="4.33203125" style="2"/>
    <col min="41" max="43" width="4.5" style="2" bestFit="1" customWidth="1"/>
    <col min="44" max="44" width="4.33203125" style="2"/>
    <col min="45" max="45" width="4.5" style="2" bestFit="1" customWidth="1"/>
    <col min="46" max="46" width="4.33203125" style="2"/>
    <col min="47" max="48" width="4.5" style="2" bestFit="1" customWidth="1"/>
    <col min="49" max="49" width="5.33203125" style="2" bestFit="1" customWidth="1"/>
    <col min="50" max="56" width="4.5" style="2" bestFit="1" customWidth="1"/>
    <col min="57" max="16384" width="4.33203125" style="2"/>
  </cols>
  <sheetData>
    <row r="2" spans="1:57" s="73" customFormat="1" ht="17" customHeight="1" x14ac:dyDescent="0.2">
      <c r="A2" s="148"/>
      <c r="B2" s="50" t="s">
        <v>37</v>
      </c>
      <c r="C2" s="51" t="s">
        <v>36</v>
      </c>
      <c r="D2" s="51" t="s">
        <v>14</v>
      </c>
      <c r="E2" s="51" t="s">
        <v>35</v>
      </c>
      <c r="F2" s="51" t="s">
        <v>51</v>
      </c>
      <c r="G2" s="51" t="s">
        <v>52</v>
      </c>
      <c r="H2" s="51" t="s">
        <v>38</v>
      </c>
      <c r="I2" s="51" t="s">
        <v>51</v>
      </c>
      <c r="J2" s="58"/>
      <c r="K2" s="58"/>
    </row>
    <row r="5" spans="1:57" ht="17" customHeight="1" x14ac:dyDescent="0.2">
      <c r="C5" s="115"/>
      <c r="D5" s="116" t="s">
        <v>71</v>
      </c>
      <c r="E5" s="115"/>
    </row>
    <row r="6" spans="1:57" s="52" customFormat="1" ht="17" customHeight="1" x14ac:dyDescent="0.2">
      <c r="A6" s="103"/>
      <c r="B6" s="103"/>
      <c r="C6" s="105" t="s">
        <v>70</v>
      </c>
      <c r="D6" s="105">
        <v>1</v>
      </c>
      <c r="E6" s="105"/>
      <c r="F6" s="105"/>
      <c r="G6" s="106" t="str" cm="1">
        <f t="array" ref="G6:H6">C6:D6</f>
        <v>Epoch</v>
      </c>
      <c r="H6" s="105">
        <v>1</v>
      </c>
      <c r="I6" s="105"/>
      <c r="J6" s="106"/>
      <c r="K6" s="105" t="str" cm="1">
        <f t="array" ref="K6:L6">_xlfn.ANCHORARRAY(G6)</f>
        <v>Epoch</v>
      </c>
      <c r="L6" s="105">
        <v>1</v>
      </c>
      <c r="M6" s="106"/>
      <c r="N6" s="105"/>
      <c r="O6" s="105" t="str" cm="1">
        <f t="array" ref="O6:P6">_xlfn.ANCHORARRAY(K6)</f>
        <v>Epoch</v>
      </c>
      <c r="P6" s="106">
        <v>1</v>
      </c>
      <c r="Q6" s="105"/>
      <c r="R6" s="105"/>
      <c r="S6" s="106" t="str" cm="1">
        <f t="array" ref="S6:T6">_xlfn.ANCHORARRAY(O6)</f>
        <v>Epoch</v>
      </c>
      <c r="T6" s="105">
        <v>1</v>
      </c>
      <c r="U6" s="105"/>
      <c r="V6" s="106"/>
      <c r="W6" s="105" t="str" cm="1">
        <f t="array" ref="W6:X6">_xlfn.ANCHORARRAY(S6)</f>
        <v>Epoch</v>
      </c>
      <c r="X6" s="105">
        <v>1</v>
      </c>
      <c r="Y6" s="106"/>
      <c r="Z6" s="105"/>
      <c r="AA6" s="105" t="str" cm="1">
        <f t="array" ref="AA6:AB6">_xlfn.ANCHORARRAY(W6)</f>
        <v>Epoch</v>
      </c>
      <c r="AB6" s="106">
        <v>1</v>
      </c>
      <c r="AC6" s="105"/>
      <c r="AD6" s="105"/>
      <c r="AE6" s="106" t="str" cm="1">
        <f t="array" ref="AE6:AF6">_xlfn.ANCHORARRAY(AA6)</f>
        <v>Epoch</v>
      </c>
      <c r="AF6" s="105">
        <v>1</v>
      </c>
      <c r="AG6" s="105"/>
      <c r="AH6" s="106"/>
      <c r="AI6" s="105" t="str" cm="1">
        <f t="array" ref="AI6:AJ6">_xlfn.ANCHORARRAY(AE6)</f>
        <v>Epoch</v>
      </c>
      <c r="AJ6" s="105">
        <v>1</v>
      </c>
      <c r="AK6" s="105"/>
      <c r="AL6" s="105"/>
      <c r="AM6" s="105" t="str" cm="1">
        <f t="array" ref="AM6:AN6">_xlfn.ANCHORARRAY(AI6)</f>
        <v>Epoch</v>
      </c>
      <c r="AN6" s="106">
        <v>1</v>
      </c>
      <c r="AO6" s="105"/>
      <c r="AP6" s="105"/>
      <c r="AQ6" s="106" t="str" cm="1">
        <f t="array" ref="AQ6:AR6">_xlfn.ANCHORARRAY(AM6)</f>
        <v>Epoch</v>
      </c>
      <c r="AR6" s="105">
        <v>1</v>
      </c>
      <c r="AS6" s="105"/>
      <c r="AT6" s="105"/>
      <c r="AU6" s="105" t="str" cm="1">
        <f t="array" ref="AU6:AV6">_xlfn.ANCHORARRAY(AQ6)</f>
        <v>Epoch</v>
      </c>
      <c r="AV6" s="105">
        <v>1</v>
      </c>
      <c r="AW6" s="106"/>
      <c r="AX6" s="105"/>
      <c r="AY6" s="105" t="str" cm="1">
        <f t="array" ref="AY6:AZ6">_xlfn.ANCHORARRAY(AU6)</f>
        <v>Epoch</v>
      </c>
      <c r="AZ6" s="106">
        <v>1</v>
      </c>
      <c r="BA6" s="105"/>
      <c r="BB6" s="105"/>
      <c r="BC6" s="105"/>
      <c r="BD6" s="105"/>
      <c r="BE6" s="105"/>
    </row>
    <row r="7" spans="1:57" s="52" customFormat="1" ht="17" customHeight="1" x14ac:dyDescent="0.2">
      <c r="A7" s="103"/>
      <c r="B7" s="103"/>
      <c r="C7" s="103"/>
      <c r="D7" s="103"/>
      <c r="E7" s="103"/>
      <c r="F7" s="103"/>
      <c r="G7" s="104"/>
      <c r="H7" s="103"/>
      <c r="I7" s="103"/>
      <c r="J7" s="104"/>
      <c r="K7" s="103"/>
      <c r="L7" s="103"/>
      <c r="M7" s="104"/>
      <c r="N7" s="103"/>
      <c r="O7" s="103"/>
      <c r="P7" s="104"/>
      <c r="Q7" s="103"/>
      <c r="R7" s="103"/>
      <c r="S7" s="104"/>
      <c r="T7" s="103"/>
      <c r="U7" s="103"/>
      <c r="V7" s="104"/>
      <c r="W7" s="103"/>
      <c r="X7" s="103"/>
      <c r="Y7" s="104"/>
      <c r="Z7" s="103"/>
      <c r="AA7" s="103"/>
      <c r="AB7" s="104"/>
      <c r="AC7" s="103"/>
      <c r="AD7" s="103"/>
      <c r="AE7" s="104"/>
      <c r="AF7" s="103"/>
      <c r="AG7" s="103"/>
      <c r="AH7" s="104"/>
      <c r="AI7" s="103"/>
      <c r="AJ7" s="103"/>
      <c r="AK7" s="103"/>
      <c r="AL7" s="103"/>
      <c r="AM7" s="103"/>
      <c r="AN7" s="104"/>
      <c r="AO7" s="103"/>
      <c r="AP7" s="103"/>
      <c r="AQ7" s="104"/>
      <c r="AR7" s="103"/>
      <c r="AS7" s="103"/>
      <c r="AT7" s="103"/>
      <c r="AU7" s="103"/>
      <c r="AV7" s="103"/>
      <c r="AW7" s="104"/>
      <c r="AX7" s="103"/>
      <c r="AY7" s="103"/>
      <c r="AZ7" s="104"/>
      <c r="BA7" s="103"/>
      <c r="BB7" s="103"/>
      <c r="BC7" s="103"/>
      <c r="BD7" s="103"/>
      <c r="BE7" s="103"/>
    </row>
    <row r="8" spans="1:57" ht="17" customHeight="1" x14ac:dyDescent="0.2">
      <c r="G8" s="2">
        <v>1</v>
      </c>
      <c r="H8" s="2">
        <v>2</v>
      </c>
      <c r="I8" s="2">
        <v>3</v>
      </c>
      <c r="J8" s="2">
        <v>4</v>
      </c>
      <c r="K8" s="2">
        <v>5</v>
      </c>
      <c r="L8" s="2">
        <v>6</v>
      </c>
      <c r="M8" s="2">
        <v>7</v>
      </c>
      <c r="N8" s="2">
        <v>8</v>
      </c>
      <c r="O8" s="2">
        <v>9</v>
      </c>
      <c r="P8" s="2">
        <v>10</v>
      </c>
      <c r="Q8" s="2">
        <v>11</v>
      </c>
      <c r="R8" s="2">
        <v>12</v>
      </c>
      <c r="S8" s="2">
        <v>13</v>
      </c>
      <c r="T8" s="2">
        <v>14</v>
      </c>
      <c r="U8" s="2">
        <v>15</v>
      </c>
      <c r="V8" s="2">
        <v>16</v>
      </c>
      <c r="W8" s="2">
        <v>17</v>
      </c>
      <c r="X8" s="2">
        <v>18</v>
      </c>
      <c r="Y8" s="2">
        <v>19</v>
      </c>
      <c r="Z8" s="2">
        <v>20</v>
      </c>
    </row>
    <row r="9" spans="1:57" ht="17" customHeight="1" x14ac:dyDescent="0.2">
      <c r="F9" s="4">
        <v>1</v>
      </c>
      <c r="G9" s="2" cm="1">
        <f t="array" aca="1" ref="G9:Z32" ca="1">OFFSET('Dataset-Tumor'!D5, 24*(E10-1), 20*(E11-1), 24, 20)</f>
        <v>0</v>
      </c>
      <c r="H9" s="2">
        <f ca="1"/>
        <v>0</v>
      </c>
      <c r="I9" s="2">
        <f ca="1"/>
        <v>0</v>
      </c>
      <c r="J9" s="2">
        <f ca="1"/>
        <v>1</v>
      </c>
      <c r="K9" s="2">
        <f ca="1"/>
        <v>1</v>
      </c>
      <c r="L9" s="2">
        <f ca="1"/>
        <v>0</v>
      </c>
      <c r="M9" s="2">
        <f ca="1"/>
        <v>1</v>
      </c>
      <c r="N9" s="2">
        <f ca="1"/>
        <v>1</v>
      </c>
      <c r="O9" s="2">
        <f ca="1"/>
        <v>1</v>
      </c>
      <c r="P9" s="2">
        <f ca="1"/>
        <v>1</v>
      </c>
      <c r="Q9" s="2">
        <f ca="1"/>
        <v>1</v>
      </c>
      <c r="R9" s="2">
        <f ca="1"/>
        <v>1</v>
      </c>
      <c r="S9" s="2">
        <f ca="1"/>
        <v>1</v>
      </c>
      <c r="T9" s="2">
        <f ca="1"/>
        <v>0</v>
      </c>
      <c r="U9" s="2">
        <f ca="1"/>
        <v>0</v>
      </c>
      <c r="V9" s="2">
        <f ca="1"/>
        <v>0</v>
      </c>
      <c r="W9" s="2">
        <f ca="1"/>
        <v>0</v>
      </c>
      <c r="X9" s="2">
        <f ca="1"/>
        <v>0</v>
      </c>
      <c r="Y9" s="2">
        <f ca="1"/>
        <v>0</v>
      </c>
      <c r="Z9" s="2">
        <f ca="1"/>
        <v>0</v>
      </c>
      <c r="AD9" s="15"/>
      <c r="AE9" s="18" t="s">
        <v>60</v>
      </c>
    </row>
    <row r="10" spans="1:57" ht="17" customHeight="1" x14ac:dyDescent="0.2">
      <c r="D10" s="16" t="s">
        <v>25</v>
      </c>
      <c r="E10" s="49">
        <v>2</v>
      </c>
      <c r="F10" s="4">
        <v>2</v>
      </c>
      <c r="G10" s="2">
        <f ca="1"/>
        <v>0</v>
      </c>
      <c r="H10" s="2">
        <f ca="1"/>
        <v>2</v>
      </c>
      <c r="I10" s="2">
        <f ca="1"/>
        <v>2</v>
      </c>
      <c r="J10" s="2">
        <f ca="1"/>
        <v>2</v>
      </c>
      <c r="K10" s="2">
        <f ca="1"/>
        <v>2</v>
      </c>
      <c r="L10" s="2">
        <f ca="1"/>
        <v>3</v>
      </c>
      <c r="M10" s="2">
        <f ca="1"/>
        <v>3</v>
      </c>
      <c r="N10" s="2">
        <f ca="1"/>
        <v>3</v>
      </c>
      <c r="O10" s="2">
        <f ca="1"/>
        <v>3</v>
      </c>
      <c r="P10" s="2">
        <f ca="1"/>
        <v>2</v>
      </c>
      <c r="Q10" s="2">
        <f ca="1"/>
        <v>3</v>
      </c>
      <c r="R10" s="2">
        <f ca="1"/>
        <v>3</v>
      </c>
      <c r="S10" s="2">
        <f ca="1"/>
        <v>3</v>
      </c>
      <c r="T10" s="2">
        <f ca="1"/>
        <v>2</v>
      </c>
      <c r="U10" s="2">
        <f ca="1"/>
        <v>2</v>
      </c>
      <c r="V10" s="2">
        <f ca="1"/>
        <v>2</v>
      </c>
      <c r="W10" s="2">
        <f ca="1"/>
        <v>2</v>
      </c>
      <c r="X10" s="2">
        <f ca="1"/>
        <v>2</v>
      </c>
      <c r="Y10" s="2">
        <f ca="1"/>
        <v>1</v>
      </c>
      <c r="Z10" s="2">
        <f ca="1"/>
        <v>0</v>
      </c>
      <c r="AD10" s="2" t="s">
        <v>54</v>
      </c>
      <c r="AE10" s="49">
        <v>17</v>
      </c>
    </row>
    <row r="11" spans="1:57" ht="17" customHeight="1" x14ac:dyDescent="0.2">
      <c r="D11" s="16" t="s">
        <v>21</v>
      </c>
      <c r="E11" s="49">
        <v>1</v>
      </c>
      <c r="F11" s="4">
        <v>3</v>
      </c>
      <c r="G11" s="2">
        <f ca="1"/>
        <v>0</v>
      </c>
      <c r="H11" s="2">
        <f ca="1"/>
        <v>2</v>
      </c>
      <c r="I11" s="2">
        <f ca="1"/>
        <v>2</v>
      </c>
      <c r="J11" s="2">
        <f ca="1"/>
        <v>2</v>
      </c>
      <c r="K11" s="2">
        <f ca="1"/>
        <v>2</v>
      </c>
      <c r="L11" s="2">
        <f ca="1"/>
        <v>3</v>
      </c>
      <c r="M11" s="2">
        <f ca="1"/>
        <v>3</v>
      </c>
      <c r="N11" s="2">
        <f ca="1"/>
        <v>2</v>
      </c>
      <c r="O11" s="2">
        <f ca="1"/>
        <v>4</v>
      </c>
      <c r="P11" s="2">
        <f ca="1"/>
        <v>13</v>
      </c>
      <c r="Q11" s="2">
        <f ca="1"/>
        <v>1</v>
      </c>
      <c r="R11" s="2">
        <f ca="1"/>
        <v>3</v>
      </c>
      <c r="S11" s="2">
        <f ca="1"/>
        <v>2</v>
      </c>
      <c r="T11" s="2">
        <f ca="1"/>
        <v>3</v>
      </c>
      <c r="U11" s="2">
        <f ca="1"/>
        <v>3</v>
      </c>
      <c r="V11" s="2">
        <f ca="1"/>
        <v>2</v>
      </c>
      <c r="W11" s="2">
        <f ca="1"/>
        <v>3</v>
      </c>
      <c r="X11" s="2">
        <f ca="1"/>
        <v>3</v>
      </c>
      <c r="Y11" s="2">
        <f ca="1"/>
        <v>2</v>
      </c>
      <c r="Z11" s="2">
        <f ca="1"/>
        <v>0</v>
      </c>
      <c r="AD11" s="2" t="s">
        <v>55</v>
      </c>
      <c r="AE11" s="49">
        <v>12</v>
      </c>
    </row>
    <row r="12" spans="1:57" ht="17" customHeight="1" x14ac:dyDescent="0.2">
      <c r="F12" s="4">
        <v>4</v>
      </c>
      <c r="G12" s="2">
        <f ca="1"/>
        <v>0</v>
      </c>
      <c r="H12" s="2">
        <f ca="1"/>
        <v>2</v>
      </c>
      <c r="I12" s="2">
        <f ca="1"/>
        <v>2</v>
      </c>
      <c r="J12" s="2">
        <f ca="1"/>
        <v>2</v>
      </c>
      <c r="K12" s="2">
        <f ca="1"/>
        <v>2</v>
      </c>
      <c r="L12" s="2">
        <f ca="1"/>
        <v>0</v>
      </c>
      <c r="M12" s="2">
        <f ca="1"/>
        <v>2</v>
      </c>
      <c r="N12" s="2">
        <f ca="1"/>
        <v>2</v>
      </c>
      <c r="O12" s="2">
        <f ca="1"/>
        <v>45</v>
      </c>
      <c r="P12" s="2">
        <f ca="1"/>
        <v>74</v>
      </c>
      <c r="Q12" s="2">
        <f ca="1"/>
        <v>30</v>
      </c>
      <c r="R12" s="2">
        <f ca="1"/>
        <v>4</v>
      </c>
      <c r="S12" s="2">
        <f ca="1"/>
        <v>7</v>
      </c>
      <c r="T12" s="2">
        <f ca="1"/>
        <v>1</v>
      </c>
      <c r="U12" s="2">
        <f ca="1"/>
        <v>1</v>
      </c>
      <c r="V12" s="2">
        <f ca="1"/>
        <v>3</v>
      </c>
      <c r="W12" s="2">
        <f ca="1"/>
        <v>2</v>
      </c>
      <c r="X12" s="2">
        <f ca="1"/>
        <v>2</v>
      </c>
      <c r="Y12" s="2">
        <f ca="1"/>
        <v>2</v>
      </c>
      <c r="Z12" s="2">
        <f ca="1"/>
        <v>0</v>
      </c>
    </row>
    <row r="13" spans="1:57" ht="17" customHeight="1" x14ac:dyDescent="0.2">
      <c r="E13" s="4" t="s">
        <v>16</v>
      </c>
      <c r="F13" s="4">
        <v>5</v>
      </c>
      <c r="G13" s="2">
        <f ca="1"/>
        <v>1</v>
      </c>
      <c r="H13" s="2">
        <f ca="1"/>
        <v>3</v>
      </c>
      <c r="I13" s="2">
        <f ca="1"/>
        <v>3</v>
      </c>
      <c r="J13" s="2">
        <f ca="1"/>
        <v>0</v>
      </c>
      <c r="K13" s="2">
        <f ca="1"/>
        <v>9</v>
      </c>
      <c r="L13" s="2">
        <f ca="1"/>
        <v>32</v>
      </c>
      <c r="M13" s="2">
        <f ca="1"/>
        <v>37</v>
      </c>
      <c r="N13" s="2">
        <f ca="1"/>
        <v>54</v>
      </c>
      <c r="O13" s="2">
        <f ca="1"/>
        <v>72</v>
      </c>
      <c r="P13" s="2">
        <f ca="1"/>
        <v>82</v>
      </c>
      <c r="Q13" s="2">
        <f ca="1"/>
        <v>67</v>
      </c>
      <c r="R13" s="2">
        <f ca="1"/>
        <v>49</v>
      </c>
      <c r="S13" s="2">
        <f ca="1"/>
        <v>42</v>
      </c>
      <c r="T13" s="2">
        <f ca="1"/>
        <v>47</v>
      </c>
      <c r="U13" s="2">
        <f ca="1"/>
        <v>17</v>
      </c>
      <c r="V13" s="2">
        <f ca="1"/>
        <v>0</v>
      </c>
      <c r="W13" s="2">
        <f ca="1"/>
        <v>3</v>
      </c>
      <c r="X13" s="2">
        <f ca="1"/>
        <v>3</v>
      </c>
      <c r="Y13" s="2">
        <f ca="1"/>
        <v>2</v>
      </c>
      <c r="Z13" s="2">
        <f ca="1"/>
        <v>0</v>
      </c>
    </row>
    <row r="14" spans="1:57" ht="17" customHeight="1" x14ac:dyDescent="0.2">
      <c r="D14" s="16" t="s">
        <v>20</v>
      </c>
      <c r="E14" s="35" cm="1">
        <f t="array" ref="E14:E17">TRANSPOSE(IF(_xlfn.SEQUENCE(1,COUNT([0]!Classes),1,1)=E10,1,0))</f>
        <v>0</v>
      </c>
      <c r="F14" s="4">
        <v>6</v>
      </c>
      <c r="G14" s="2">
        <f ca="1"/>
        <v>1</v>
      </c>
      <c r="H14" s="2">
        <f ca="1"/>
        <v>3</v>
      </c>
      <c r="I14" s="2">
        <f ca="1"/>
        <v>1</v>
      </c>
      <c r="J14" s="2">
        <f ca="1"/>
        <v>26</v>
      </c>
      <c r="K14" s="2">
        <f ca="1"/>
        <v>83</v>
      </c>
      <c r="L14" s="2">
        <f ca="1"/>
        <v>85</v>
      </c>
      <c r="M14" s="2">
        <f ca="1"/>
        <v>59</v>
      </c>
      <c r="N14" s="2">
        <f ca="1"/>
        <v>101</v>
      </c>
      <c r="O14" s="2">
        <f ca="1"/>
        <v>80</v>
      </c>
      <c r="P14" s="2">
        <f ca="1"/>
        <v>86</v>
      </c>
      <c r="Q14" s="2">
        <f ca="1"/>
        <v>77</v>
      </c>
      <c r="R14" s="2">
        <f ca="1"/>
        <v>88</v>
      </c>
      <c r="S14" s="2">
        <f ca="1"/>
        <v>61</v>
      </c>
      <c r="T14" s="2">
        <f ca="1"/>
        <v>89</v>
      </c>
      <c r="U14" s="2">
        <f ca="1"/>
        <v>78</v>
      </c>
      <c r="V14" s="2">
        <f ca="1"/>
        <v>38</v>
      </c>
      <c r="W14" s="2">
        <f ca="1"/>
        <v>0</v>
      </c>
      <c r="X14" s="2">
        <f ca="1"/>
        <v>3</v>
      </c>
      <c r="Y14" s="2">
        <f ca="1"/>
        <v>3</v>
      </c>
      <c r="Z14" s="2">
        <f ca="1"/>
        <v>0</v>
      </c>
      <c r="AE14" s="2" t="s">
        <v>4</v>
      </c>
      <c r="AI14" s="2" t="s">
        <v>7</v>
      </c>
      <c r="AM14" s="2" t="s">
        <v>6</v>
      </c>
    </row>
    <row r="15" spans="1:57" ht="17" customHeight="1" x14ac:dyDescent="0.2">
      <c r="D15" s="16" t="s">
        <v>8</v>
      </c>
      <c r="E15" s="35">
        <v>1</v>
      </c>
      <c r="F15" s="4">
        <v>7</v>
      </c>
      <c r="G15" s="2">
        <f ca="1"/>
        <v>1</v>
      </c>
      <c r="H15" s="2">
        <f ca="1"/>
        <v>2</v>
      </c>
      <c r="I15" s="2">
        <f ca="1"/>
        <v>6</v>
      </c>
      <c r="J15" s="2">
        <f ca="1"/>
        <v>90</v>
      </c>
      <c r="K15" s="2">
        <f ca="1"/>
        <v>86</v>
      </c>
      <c r="L15" s="2">
        <f ca="1"/>
        <v>88</v>
      </c>
      <c r="M15" s="2">
        <f ca="1"/>
        <v>100</v>
      </c>
      <c r="N15" s="2">
        <f ca="1"/>
        <v>82</v>
      </c>
      <c r="O15" s="2">
        <f ca="1"/>
        <v>59</v>
      </c>
      <c r="P15" s="2">
        <f ca="1"/>
        <v>80</v>
      </c>
      <c r="Q15" s="2">
        <f ca="1"/>
        <v>55</v>
      </c>
      <c r="R15" s="2">
        <f ca="1"/>
        <v>81</v>
      </c>
      <c r="S15" s="2">
        <f ca="1"/>
        <v>99</v>
      </c>
      <c r="T15" s="2">
        <f ca="1"/>
        <v>65</v>
      </c>
      <c r="U15" s="2">
        <f ca="1"/>
        <v>75</v>
      </c>
      <c r="V15" s="2">
        <f ca="1"/>
        <v>103</v>
      </c>
      <c r="W15" s="2">
        <f ca="1"/>
        <v>27</v>
      </c>
      <c r="X15" s="2">
        <f ca="1"/>
        <v>1</v>
      </c>
      <c r="Y15" s="2">
        <f ca="1"/>
        <v>3</v>
      </c>
      <c r="Z15" s="2">
        <f ca="1"/>
        <v>0</v>
      </c>
      <c r="AE15" s="21" cm="1">
        <f t="array" aca="1" ref="AE15:AG17" ca="1">OFFSET(G9,$AE$10-1,$AE$11-1,3,3)</f>
        <v>72</v>
      </c>
      <c r="AF15" s="21">
        <f ca="1"/>
        <v>68</v>
      </c>
      <c r="AG15" s="21">
        <f ca="1"/>
        <v>60</v>
      </c>
      <c r="AI15" s="21" cm="1">
        <f t="array" aca="1" ref="AI15:AK17" ca="1">ROUND((_xlfn.ANCHORARRAY(AE15)-127.5)/127.5,2)</f>
        <v>-0.44</v>
      </c>
      <c r="AJ15" s="21">
        <f ca="1"/>
        <v>-0.47</v>
      </c>
      <c r="AK15" s="21">
        <f ca="1"/>
        <v>-0.53</v>
      </c>
      <c r="AM15" s="21" cm="1">
        <f t="array" aca="1" ref="AM15:AM23" ca="1">ROUND(_xlfn.TOCOL(_xlfn.ANCHORARRAY(AI15)),2)</f>
        <v>-0.44</v>
      </c>
    </row>
    <row r="16" spans="1:57" ht="17" customHeight="1" x14ac:dyDescent="0.2">
      <c r="D16" s="16" t="s">
        <v>9</v>
      </c>
      <c r="E16" s="35">
        <v>0</v>
      </c>
      <c r="F16" s="4">
        <v>8</v>
      </c>
      <c r="G16" s="2">
        <f ca="1"/>
        <v>1</v>
      </c>
      <c r="H16" s="2">
        <f ca="1"/>
        <v>0</v>
      </c>
      <c r="I16" s="2">
        <f ca="1"/>
        <v>34</v>
      </c>
      <c r="J16" s="2">
        <f ca="1"/>
        <v>100</v>
      </c>
      <c r="K16" s="2">
        <f ca="1"/>
        <v>70</v>
      </c>
      <c r="L16" s="2">
        <f ca="1"/>
        <v>61</v>
      </c>
      <c r="M16" s="2">
        <f ca="1"/>
        <v>84</v>
      </c>
      <c r="N16" s="2">
        <f ca="1"/>
        <v>27</v>
      </c>
      <c r="O16" s="2">
        <f ca="1"/>
        <v>40</v>
      </c>
      <c r="P16" s="2">
        <f ca="1"/>
        <v>65</v>
      </c>
      <c r="Q16" s="2">
        <f ca="1"/>
        <v>48</v>
      </c>
      <c r="R16" s="2">
        <f ca="1"/>
        <v>55</v>
      </c>
      <c r="S16" s="2">
        <f ca="1"/>
        <v>94</v>
      </c>
      <c r="T16" s="2">
        <f ca="1"/>
        <v>56</v>
      </c>
      <c r="U16" s="2">
        <f ca="1"/>
        <v>70</v>
      </c>
      <c r="V16" s="2">
        <f ca="1"/>
        <v>110</v>
      </c>
      <c r="W16" s="2">
        <f ca="1"/>
        <v>71</v>
      </c>
      <c r="X16" s="2">
        <f ca="1"/>
        <v>0</v>
      </c>
      <c r="Y16" s="2">
        <f ca="1"/>
        <v>3</v>
      </c>
      <c r="Z16" s="2">
        <f ca="1"/>
        <v>1</v>
      </c>
      <c r="AE16" s="21">
        <f ca="1"/>
        <v>67</v>
      </c>
      <c r="AF16" s="21">
        <f ca="1"/>
        <v>63</v>
      </c>
      <c r="AG16" s="21">
        <f ca="1"/>
        <v>47</v>
      </c>
      <c r="AI16" s="21">
        <f ca="1"/>
        <v>-0.47</v>
      </c>
      <c r="AJ16" s="21">
        <f ca="1"/>
        <v>-0.51</v>
      </c>
      <c r="AK16" s="21">
        <f ca="1"/>
        <v>-0.63</v>
      </c>
      <c r="AM16" s="21">
        <f ca="1"/>
        <v>-0.47</v>
      </c>
    </row>
    <row r="17" spans="4:56" ht="17" customHeight="1" x14ac:dyDescent="0.2">
      <c r="D17" s="16" t="s">
        <v>10</v>
      </c>
      <c r="E17" s="35">
        <v>0</v>
      </c>
      <c r="F17" s="4">
        <v>9</v>
      </c>
      <c r="G17" s="2">
        <f ca="1"/>
        <v>1</v>
      </c>
      <c r="H17" s="2">
        <f ca="1"/>
        <v>0</v>
      </c>
      <c r="I17" s="2">
        <f ca="1"/>
        <v>63</v>
      </c>
      <c r="J17" s="2">
        <f ca="1"/>
        <v>96</v>
      </c>
      <c r="K17" s="2">
        <f ca="1"/>
        <v>64</v>
      </c>
      <c r="L17" s="2">
        <f ca="1"/>
        <v>73</v>
      </c>
      <c r="M17" s="2">
        <f ca="1"/>
        <v>99</v>
      </c>
      <c r="N17" s="2">
        <f ca="1"/>
        <v>91</v>
      </c>
      <c r="O17" s="2">
        <f ca="1"/>
        <v>56</v>
      </c>
      <c r="P17" s="2">
        <f ca="1"/>
        <v>61</v>
      </c>
      <c r="Q17" s="2">
        <f ca="1"/>
        <v>51</v>
      </c>
      <c r="R17" s="2">
        <f ca="1"/>
        <v>88</v>
      </c>
      <c r="S17" s="2">
        <f ca="1"/>
        <v>89</v>
      </c>
      <c r="T17" s="2">
        <f ca="1"/>
        <v>77</v>
      </c>
      <c r="U17" s="2">
        <f ca="1"/>
        <v>58</v>
      </c>
      <c r="V17" s="2">
        <f ca="1"/>
        <v>106</v>
      </c>
      <c r="W17" s="2">
        <f ca="1"/>
        <v>89</v>
      </c>
      <c r="X17" s="2">
        <f ca="1"/>
        <v>3</v>
      </c>
      <c r="Y17" s="2">
        <f ca="1"/>
        <v>3</v>
      </c>
      <c r="Z17" s="2">
        <f ca="1"/>
        <v>1</v>
      </c>
      <c r="AE17" s="21">
        <f ca="1"/>
        <v>58</v>
      </c>
      <c r="AF17" s="21">
        <f ca="1"/>
        <v>45</v>
      </c>
      <c r="AG17" s="21">
        <f ca="1"/>
        <v>96</v>
      </c>
      <c r="AI17" s="21">
        <f ca="1"/>
        <v>-0.55000000000000004</v>
      </c>
      <c r="AJ17" s="21">
        <f ca="1"/>
        <v>-0.65</v>
      </c>
      <c r="AK17" s="21">
        <f ca="1"/>
        <v>-0.25</v>
      </c>
      <c r="AM17" s="21">
        <f ca="1"/>
        <v>-0.53</v>
      </c>
    </row>
    <row r="18" spans="4:56" ht="17" customHeight="1" x14ac:dyDescent="0.2">
      <c r="F18" s="4">
        <v>10</v>
      </c>
      <c r="G18" s="2">
        <f ca="1"/>
        <v>1</v>
      </c>
      <c r="H18" s="2">
        <f ca="1"/>
        <v>1</v>
      </c>
      <c r="I18" s="2">
        <f ca="1"/>
        <v>78</v>
      </c>
      <c r="J18" s="2">
        <f ca="1"/>
        <v>95</v>
      </c>
      <c r="K18" s="2">
        <f ca="1"/>
        <v>81</v>
      </c>
      <c r="L18" s="2">
        <f ca="1"/>
        <v>85</v>
      </c>
      <c r="M18" s="2">
        <f ca="1"/>
        <v>73</v>
      </c>
      <c r="N18" s="2">
        <f ca="1"/>
        <v>41</v>
      </c>
      <c r="O18" s="2">
        <f ca="1"/>
        <v>11</v>
      </c>
      <c r="P18" s="2">
        <f ca="1"/>
        <v>22</v>
      </c>
      <c r="Q18" s="2">
        <f ca="1"/>
        <v>15</v>
      </c>
      <c r="R18" s="2">
        <f ca="1"/>
        <v>53</v>
      </c>
      <c r="S18" s="2">
        <f ca="1"/>
        <v>53</v>
      </c>
      <c r="T18" s="2">
        <f ca="1"/>
        <v>48</v>
      </c>
      <c r="U18" s="2">
        <f ca="1"/>
        <v>68</v>
      </c>
      <c r="V18" s="2">
        <f ca="1"/>
        <v>99</v>
      </c>
      <c r="W18" s="2">
        <f ca="1"/>
        <v>98</v>
      </c>
      <c r="X18" s="2">
        <f ca="1"/>
        <v>5</v>
      </c>
      <c r="Y18" s="2">
        <f ca="1"/>
        <v>3</v>
      </c>
      <c r="Z18" s="2">
        <f ca="1"/>
        <v>1</v>
      </c>
      <c r="AM18" s="21">
        <f ca="1"/>
        <v>-0.47</v>
      </c>
    </row>
    <row r="19" spans="4:56" ht="17" customHeight="1" x14ac:dyDescent="0.2">
      <c r="F19" s="4">
        <v>11</v>
      </c>
      <c r="G19" s="2">
        <f ca="1"/>
        <v>1</v>
      </c>
      <c r="H19" s="2">
        <f ca="1"/>
        <v>1</v>
      </c>
      <c r="I19" s="2">
        <f ca="1"/>
        <v>87</v>
      </c>
      <c r="J19" s="2">
        <f ca="1"/>
        <v>87</v>
      </c>
      <c r="K19" s="2">
        <f ca="1"/>
        <v>65</v>
      </c>
      <c r="L19" s="2">
        <f ca="1"/>
        <v>64</v>
      </c>
      <c r="M19" s="2">
        <f ca="1"/>
        <v>56</v>
      </c>
      <c r="N19" s="2">
        <f ca="1"/>
        <v>63</v>
      </c>
      <c r="O19" s="2">
        <f ca="1"/>
        <v>54</v>
      </c>
      <c r="P19" s="2">
        <f ca="1"/>
        <v>42</v>
      </c>
      <c r="Q19" s="2">
        <f ca="1"/>
        <v>77</v>
      </c>
      <c r="R19" s="2">
        <f ca="1"/>
        <v>77</v>
      </c>
      <c r="S19" s="2">
        <f ca="1"/>
        <v>61</v>
      </c>
      <c r="T19" s="2">
        <f ca="1"/>
        <v>48</v>
      </c>
      <c r="U19" s="2">
        <f ca="1"/>
        <v>63</v>
      </c>
      <c r="V19" s="2">
        <f ca="1"/>
        <v>82</v>
      </c>
      <c r="W19" s="2">
        <f ca="1"/>
        <v>102</v>
      </c>
      <c r="X19" s="2">
        <f ca="1"/>
        <v>6</v>
      </c>
      <c r="Y19" s="2">
        <f ca="1"/>
        <v>3</v>
      </c>
      <c r="Z19" s="2">
        <f ca="1"/>
        <v>1</v>
      </c>
      <c r="AM19" s="21">
        <f ca="1"/>
        <v>-0.51</v>
      </c>
    </row>
    <row r="20" spans="4:56" ht="17" customHeight="1" x14ac:dyDescent="0.2">
      <c r="F20" s="4">
        <v>12</v>
      </c>
      <c r="G20" s="2">
        <f ca="1"/>
        <v>2</v>
      </c>
      <c r="H20" s="2">
        <f ca="1"/>
        <v>3</v>
      </c>
      <c r="I20" s="2">
        <f ca="1"/>
        <v>90</v>
      </c>
      <c r="J20" s="2">
        <f ca="1"/>
        <v>78</v>
      </c>
      <c r="K20" s="2">
        <f ca="1"/>
        <v>45</v>
      </c>
      <c r="L20" s="2">
        <f ca="1"/>
        <v>50</v>
      </c>
      <c r="M20" s="2">
        <f ca="1"/>
        <v>56</v>
      </c>
      <c r="N20" s="2">
        <f ca="1"/>
        <v>86</v>
      </c>
      <c r="O20" s="2">
        <f ca="1"/>
        <v>90</v>
      </c>
      <c r="P20" s="2">
        <f ca="1"/>
        <v>71</v>
      </c>
      <c r="Q20" s="2">
        <f ca="1"/>
        <v>87</v>
      </c>
      <c r="R20" s="2">
        <f ca="1"/>
        <v>83</v>
      </c>
      <c r="S20" s="2">
        <f ca="1"/>
        <v>79</v>
      </c>
      <c r="T20" s="2">
        <f ca="1"/>
        <v>51</v>
      </c>
      <c r="U20" s="2">
        <f ca="1"/>
        <v>40</v>
      </c>
      <c r="V20" s="2">
        <f ca="1"/>
        <v>54</v>
      </c>
      <c r="W20" s="2">
        <f ca="1"/>
        <v>104</v>
      </c>
      <c r="X20" s="2">
        <f ca="1"/>
        <v>15</v>
      </c>
      <c r="Y20" s="2">
        <f ca="1"/>
        <v>3</v>
      </c>
      <c r="Z20" s="2">
        <f ca="1"/>
        <v>1</v>
      </c>
      <c r="AM20" s="21">
        <f ca="1"/>
        <v>-0.63</v>
      </c>
    </row>
    <row r="21" spans="4:56" ht="17" customHeight="1" x14ac:dyDescent="0.2">
      <c r="F21" s="4">
        <v>13</v>
      </c>
      <c r="G21" s="2">
        <f ca="1"/>
        <v>1</v>
      </c>
      <c r="H21" s="2">
        <f ca="1"/>
        <v>2</v>
      </c>
      <c r="I21" s="2">
        <f ca="1"/>
        <v>89</v>
      </c>
      <c r="J21" s="2">
        <f ca="1"/>
        <v>87</v>
      </c>
      <c r="K21" s="2">
        <f ca="1"/>
        <v>28</v>
      </c>
      <c r="L21" s="2">
        <f ca="1"/>
        <v>17</v>
      </c>
      <c r="M21" s="2">
        <f ca="1"/>
        <v>34</v>
      </c>
      <c r="N21" s="2">
        <f ca="1"/>
        <v>83</v>
      </c>
      <c r="O21" s="2">
        <f ca="1"/>
        <v>55</v>
      </c>
      <c r="P21" s="2">
        <f ca="1"/>
        <v>59</v>
      </c>
      <c r="Q21" s="2">
        <f ca="1"/>
        <v>65</v>
      </c>
      <c r="R21" s="2">
        <f ca="1"/>
        <v>50</v>
      </c>
      <c r="S21" s="2">
        <f ca="1"/>
        <v>37</v>
      </c>
      <c r="T21" s="2">
        <f ca="1"/>
        <v>22</v>
      </c>
      <c r="U21" s="2">
        <f ca="1"/>
        <v>9</v>
      </c>
      <c r="V21" s="2">
        <f ca="1"/>
        <v>35</v>
      </c>
      <c r="W21" s="2">
        <f ca="1"/>
        <v>89</v>
      </c>
      <c r="X21" s="2">
        <f ca="1"/>
        <v>26</v>
      </c>
      <c r="Y21" s="2">
        <f ca="1"/>
        <v>1</v>
      </c>
      <c r="Z21" s="2">
        <f ca="1"/>
        <v>1</v>
      </c>
      <c r="AM21" s="21">
        <f ca="1"/>
        <v>-0.55000000000000004</v>
      </c>
      <c r="AU21" s="18" t="s">
        <v>87</v>
      </c>
      <c r="AV21" s="49">
        <v>0.25</v>
      </c>
    </row>
    <row r="22" spans="4:56" ht="17" customHeight="1" x14ac:dyDescent="0.2">
      <c r="F22" s="4">
        <v>14</v>
      </c>
      <c r="G22" s="2">
        <f ca="1"/>
        <v>1</v>
      </c>
      <c r="H22" s="2">
        <f ca="1"/>
        <v>2</v>
      </c>
      <c r="I22" s="2">
        <f ca="1"/>
        <v>67</v>
      </c>
      <c r="J22" s="2">
        <f ca="1"/>
        <v>83</v>
      </c>
      <c r="K22" s="2">
        <f ca="1"/>
        <v>22</v>
      </c>
      <c r="L22" s="2">
        <f ca="1"/>
        <v>16</v>
      </c>
      <c r="M22" s="2">
        <f ca="1"/>
        <v>62</v>
      </c>
      <c r="N22" s="2">
        <f ca="1"/>
        <v>106</v>
      </c>
      <c r="O22" s="2">
        <f ca="1"/>
        <v>106</v>
      </c>
      <c r="P22" s="2">
        <f ca="1"/>
        <v>74</v>
      </c>
      <c r="Q22" s="2">
        <f ca="1"/>
        <v>66</v>
      </c>
      <c r="R22" s="2">
        <f ca="1"/>
        <v>74</v>
      </c>
      <c r="S22" s="2">
        <f ca="1"/>
        <v>67</v>
      </c>
      <c r="T22" s="2">
        <f ca="1"/>
        <v>38</v>
      </c>
      <c r="U22" s="2">
        <f ca="1"/>
        <v>11</v>
      </c>
      <c r="V22" s="2">
        <f ca="1"/>
        <v>14</v>
      </c>
      <c r="W22" s="2">
        <f ca="1"/>
        <v>53</v>
      </c>
      <c r="X22" s="2">
        <f ca="1"/>
        <v>24</v>
      </c>
      <c r="Y22" s="2">
        <f ca="1"/>
        <v>1</v>
      </c>
      <c r="Z22" s="2">
        <f ca="1"/>
        <v>1</v>
      </c>
      <c r="AM22" s="21">
        <f ca="1"/>
        <v>-0.65</v>
      </c>
    </row>
    <row r="23" spans="4:56" ht="17" customHeight="1" x14ac:dyDescent="0.2">
      <c r="F23" s="4">
        <v>15</v>
      </c>
      <c r="G23" s="2">
        <f ca="1"/>
        <v>2</v>
      </c>
      <c r="H23" s="2">
        <f ca="1"/>
        <v>9</v>
      </c>
      <c r="I23" s="2">
        <f ca="1"/>
        <v>32</v>
      </c>
      <c r="J23" s="2">
        <f ca="1"/>
        <v>57</v>
      </c>
      <c r="K23" s="2">
        <f ca="1"/>
        <v>34</v>
      </c>
      <c r="L23" s="2">
        <f ca="1"/>
        <v>57</v>
      </c>
      <c r="M23" s="2">
        <f ca="1"/>
        <v>110</v>
      </c>
      <c r="N23" s="2">
        <f ca="1"/>
        <v>92</v>
      </c>
      <c r="O23" s="2">
        <f ca="1"/>
        <v>114</v>
      </c>
      <c r="P23" s="2">
        <f ca="1"/>
        <v>77</v>
      </c>
      <c r="Q23" s="2">
        <f ca="1"/>
        <v>65</v>
      </c>
      <c r="R23" s="2">
        <f ca="1"/>
        <v>77</v>
      </c>
      <c r="S23" s="2">
        <f ca="1"/>
        <v>74</v>
      </c>
      <c r="T23" s="2">
        <f ca="1"/>
        <v>76</v>
      </c>
      <c r="U23" s="2">
        <f ca="1"/>
        <v>80</v>
      </c>
      <c r="V23" s="2">
        <f ca="1"/>
        <v>58</v>
      </c>
      <c r="W23" s="2">
        <f ca="1"/>
        <v>74</v>
      </c>
      <c r="X23" s="2">
        <f ca="1"/>
        <v>51</v>
      </c>
      <c r="Y23" s="2">
        <f ca="1"/>
        <v>4</v>
      </c>
      <c r="Z23" s="2">
        <f ca="1"/>
        <v>2</v>
      </c>
      <c r="AM23" s="21">
        <f ca="1"/>
        <v>-0.25</v>
      </c>
      <c r="AU23" s="2" t="s">
        <v>13</v>
      </c>
    </row>
    <row r="24" spans="4:56" ht="17" customHeight="1" x14ac:dyDescent="0.2">
      <c r="F24" s="4">
        <v>16</v>
      </c>
      <c r="G24" s="2">
        <f ca="1"/>
        <v>1</v>
      </c>
      <c r="H24" s="2">
        <f ca="1"/>
        <v>20</v>
      </c>
      <c r="I24" s="2">
        <f ca="1"/>
        <v>68</v>
      </c>
      <c r="J24" s="2">
        <f ca="1"/>
        <v>98</v>
      </c>
      <c r="K24" s="2">
        <f ca="1"/>
        <v>51</v>
      </c>
      <c r="L24" s="2">
        <f ca="1"/>
        <v>52</v>
      </c>
      <c r="M24" s="2">
        <f ca="1"/>
        <v>75</v>
      </c>
      <c r="N24" s="2">
        <f ca="1"/>
        <v>86</v>
      </c>
      <c r="O24" s="2">
        <f ca="1"/>
        <v>115</v>
      </c>
      <c r="P24" s="2">
        <f ca="1"/>
        <v>80</v>
      </c>
      <c r="Q24" s="2">
        <f ca="1"/>
        <v>56</v>
      </c>
      <c r="R24" s="2">
        <f ca="1"/>
        <v>74</v>
      </c>
      <c r="S24" s="2">
        <f ca="1"/>
        <v>70</v>
      </c>
      <c r="T24" s="2">
        <f ca="1"/>
        <v>65</v>
      </c>
      <c r="U24" s="2">
        <f ca="1"/>
        <v>62</v>
      </c>
      <c r="V24" s="2">
        <f ca="1"/>
        <v>84</v>
      </c>
      <c r="W24" s="2">
        <f ca="1"/>
        <v>62</v>
      </c>
      <c r="X24" s="2">
        <f ca="1"/>
        <v>25</v>
      </c>
      <c r="Y24" s="2">
        <f ca="1"/>
        <v>2</v>
      </c>
      <c r="Z24" s="2">
        <f ca="1"/>
        <v>1</v>
      </c>
      <c r="AM24" s="20">
        <v>1</v>
      </c>
      <c r="AU24" s="21" cm="1">
        <f t="array" aca="1" ref="AU24:BD24" ca="1">TRANSPOSE(AM15:AM24)</f>
        <v>-0.44</v>
      </c>
      <c r="AV24" s="21">
        <f ca="1"/>
        <v>-0.47</v>
      </c>
      <c r="AW24" s="21">
        <f ca="1"/>
        <v>-0.53</v>
      </c>
      <c r="AX24" s="21">
        <f ca="1"/>
        <v>-0.47</v>
      </c>
      <c r="AY24" s="21">
        <f ca="1"/>
        <v>-0.51</v>
      </c>
      <c r="AZ24" s="21">
        <f ca="1"/>
        <v>-0.63</v>
      </c>
      <c r="BA24" s="21">
        <f ca="1"/>
        <v>-0.55000000000000004</v>
      </c>
      <c r="BB24" s="21">
        <f ca="1"/>
        <v>-0.65</v>
      </c>
      <c r="BC24" s="102">
        <f ca="1"/>
        <v>-0.25</v>
      </c>
      <c r="BD24" s="20">
        <f ca="1"/>
        <v>1</v>
      </c>
    </row>
    <row r="25" spans="4:56" ht="17" customHeight="1" x14ac:dyDescent="0.2">
      <c r="F25" s="4">
        <v>17</v>
      </c>
      <c r="G25" s="2">
        <f ca="1"/>
        <v>1</v>
      </c>
      <c r="H25" s="2">
        <f ca="1"/>
        <v>5</v>
      </c>
      <c r="I25" s="2">
        <f ca="1"/>
        <v>20</v>
      </c>
      <c r="J25" s="2">
        <f ca="1"/>
        <v>109</v>
      </c>
      <c r="K25" s="2">
        <f ca="1"/>
        <v>80</v>
      </c>
      <c r="L25" s="2">
        <f ca="1"/>
        <v>40</v>
      </c>
      <c r="M25" s="2">
        <f ca="1"/>
        <v>57</v>
      </c>
      <c r="N25" s="2">
        <f ca="1"/>
        <v>76</v>
      </c>
      <c r="O25" s="2">
        <f ca="1"/>
        <v>82</v>
      </c>
      <c r="P25" s="2">
        <f ca="1"/>
        <v>67</v>
      </c>
      <c r="Q25" s="2">
        <f ca="1"/>
        <v>66</v>
      </c>
      <c r="R25" s="2">
        <f ca="1"/>
        <v>72</v>
      </c>
      <c r="S25" s="2">
        <f ca="1"/>
        <v>68</v>
      </c>
      <c r="T25" s="2">
        <f ca="1"/>
        <v>60</v>
      </c>
      <c r="U25" s="2">
        <f ca="1"/>
        <v>50</v>
      </c>
      <c r="V25" s="2">
        <f ca="1"/>
        <v>123</v>
      </c>
      <c r="W25" s="2">
        <f ca="1"/>
        <v>24</v>
      </c>
      <c r="X25" s="2">
        <f ca="1"/>
        <v>0</v>
      </c>
      <c r="Y25" s="2">
        <f ca="1"/>
        <v>3</v>
      </c>
      <c r="Z25" s="2">
        <f ca="1"/>
        <v>1</v>
      </c>
    </row>
    <row r="26" spans="4:56" ht="17" customHeight="1" x14ac:dyDescent="0.2">
      <c r="F26" s="4">
        <v>18</v>
      </c>
      <c r="G26" s="2">
        <f ca="1"/>
        <v>1</v>
      </c>
      <c r="H26" s="2">
        <f ca="1"/>
        <v>3</v>
      </c>
      <c r="I26" s="2">
        <f ca="1"/>
        <v>0</v>
      </c>
      <c r="J26" s="2">
        <f ca="1"/>
        <v>32</v>
      </c>
      <c r="K26" s="2">
        <f ca="1"/>
        <v>126</v>
      </c>
      <c r="L26" s="2">
        <f ca="1"/>
        <v>56</v>
      </c>
      <c r="M26" s="2">
        <f ca="1"/>
        <v>42</v>
      </c>
      <c r="N26" s="2">
        <f ca="1"/>
        <v>49</v>
      </c>
      <c r="O26" s="2">
        <f ca="1"/>
        <v>58</v>
      </c>
      <c r="P26" s="2">
        <f ca="1"/>
        <v>60</v>
      </c>
      <c r="Q26" s="2">
        <f ca="1"/>
        <v>67</v>
      </c>
      <c r="R26" s="2">
        <f ca="1"/>
        <v>67</v>
      </c>
      <c r="S26" s="2">
        <f ca="1"/>
        <v>63</v>
      </c>
      <c r="T26" s="2">
        <f ca="1"/>
        <v>47</v>
      </c>
      <c r="U26" s="2">
        <f ca="1"/>
        <v>115</v>
      </c>
      <c r="V26" s="2">
        <f ca="1"/>
        <v>77</v>
      </c>
      <c r="W26" s="2">
        <f ca="1"/>
        <v>0</v>
      </c>
      <c r="X26" s="2">
        <f ca="1"/>
        <v>2</v>
      </c>
      <c r="Y26" s="2">
        <f ca="1"/>
        <v>2</v>
      </c>
      <c r="Z26" s="2">
        <f ca="1"/>
        <v>1</v>
      </c>
      <c r="AB26" s="2" t="s">
        <v>88</v>
      </c>
      <c r="AK26" s="2" t="s">
        <v>89</v>
      </c>
      <c r="AM26" s="2" t="s">
        <v>24</v>
      </c>
      <c r="AO26" s="2" t="s">
        <v>63</v>
      </c>
      <c r="AP26" s="2" t="s">
        <v>92</v>
      </c>
      <c r="AQ26" s="2" t="s">
        <v>26</v>
      </c>
      <c r="AS26" s="136" t="s">
        <v>94</v>
      </c>
      <c r="AU26" s="136" t="s">
        <v>90</v>
      </c>
      <c r="BD26" s="2" t="s">
        <v>91</v>
      </c>
    </row>
    <row r="27" spans="4:56" ht="17" customHeight="1" x14ac:dyDescent="0.2">
      <c r="F27" s="4">
        <v>19</v>
      </c>
      <c r="G27" s="2">
        <f ca="1"/>
        <v>1</v>
      </c>
      <c r="H27" s="2">
        <f ca="1"/>
        <v>2</v>
      </c>
      <c r="I27" s="2">
        <f ca="1"/>
        <v>3</v>
      </c>
      <c r="J27" s="2">
        <f ca="1"/>
        <v>0</v>
      </c>
      <c r="K27" s="2">
        <f ca="1"/>
        <v>48</v>
      </c>
      <c r="L27" s="2">
        <f ca="1"/>
        <v>110</v>
      </c>
      <c r="M27" s="2">
        <f ca="1"/>
        <v>50</v>
      </c>
      <c r="N27" s="2">
        <f ca="1"/>
        <v>42</v>
      </c>
      <c r="O27" s="2">
        <f ca="1"/>
        <v>54</v>
      </c>
      <c r="P27" s="2">
        <f ca="1"/>
        <v>82</v>
      </c>
      <c r="Q27" s="2">
        <f ca="1"/>
        <v>67</v>
      </c>
      <c r="R27" s="2">
        <f ca="1"/>
        <v>58</v>
      </c>
      <c r="S27" s="2">
        <f ca="1"/>
        <v>45</v>
      </c>
      <c r="T27" s="2">
        <f ca="1"/>
        <v>96</v>
      </c>
      <c r="U27" s="2">
        <f ca="1"/>
        <v>100</v>
      </c>
      <c r="V27" s="2">
        <f ca="1"/>
        <v>2</v>
      </c>
      <c r="W27" s="2">
        <f ca="1"/>
        <v>2</v>
      </c>
      <c r="X27" s="2">
        <f ca="1"/>
        <v>2</v>
      </c>
      <c r="Y27" s="2">
        <f ca="1"/>
        <v>2</v>
      </c>
      <c r="Z27" s="2">
        <f ca="1"/>
        <v>0</v>
      </c>
      <c r="AB27" s="20" cm="1">
        <f t="array" aca="1" ref="AB27:AK30" ca="1">ROUND(_xlfn.RANDARRAY(COUNT([0]!Classes), COUNT(AM15:AM24),-1,1),2)</f>
        <v>0.63</v>
      </c>
      <c r="AC27" s="20">
        <f ca="1"/>
        <v>0.48</v>
      </c>
      <c r="AD27" s="20">
        <f ca="1"/>
        <v>-0.15</v>
      </c>
      <c r="AE27" s="20">
        <f ca="1"/>
        <v>0.24</v>
      </c>
      <c r="AF27" s="20">
        <f ca="1"/>
        <v>0.53</v>
      </c>
      <c r="AG27" s="20">
        <f ca="1"/>
        <v>0.12</v>
      </c>
      <c r="AH27" s="20">
        <f ca="1"/>
        <v>-0.82</v>
      </c>
      <c r="AI27" s="20">
        <f ca="1"/>
        <v>0.17</v>
      </c>
      <c r="AJ27" s="20">
        <f ca="1"/>
        <v>0.14000000000000001</v>
      </c>
      <c r="AK27" s="20">
        <f ca="1"/>
        <v>-0.55000000000000004</v>
      </c>
      <c r="AM27" s="20" cm="1">
        <f t="array" aca="1" ref="AM27:AM30" ca="1">ROUND(MMULT(_xlfn.ANCHORARRAY(AB27),AM15:AM24),2)</f>
        <v>-1.1299999999999999</v>
      </c>
      <c r="AO27" s="20" cm="1">
        <f t="array" aca="1" ref="AO27:AO30" ca="1">EXP(_xlfn.ANCHORARRAY(AM27))/SUM(EXP(_xlfn.ANCHORARRAY(AM27)))</f>
        <v>1.2608406884612235E-2</v>
      </c>
      <c r="AP27" s="20" cm="1">
        <f t="array" ref="AP27:AP30">_xlfn.ANCHORARRAY(E14)</f>
        <v>0</v>
      </c>
      <c r="AQ27" s="85" cm="1">
        <f t="array" aca="1" ref="AQ27" ca="1">-SUMPRODUCT(_xlfn.ANCHORARRAY(AP27), LN(_xlfn.ANCHORARRAY(AO27)))</f>
        <v>0.47339147444791946</v>
      </c>
      <c r="AS27" s="20" cm="1">
        <f t="array" aca="1" ref="AS27:AS30" ca="1">ROUND(_xlfn.ANCHORARRAY(AO27)-AP27:AP30,2)</f>
        <v>0.01</v>
      </c>
      <c r="AU27" s="20" cm="1">
        <f t="array" aca="1" ref="AU27:BD30" ca="1">ROUND(-$AV$21*MMULT(_xlfn.ANCHORARRAY(AS27),_xlfn.ANCHORARRAY(AU24)),2)</f>
        <v>0</v>
      </c>
      <c r="AV27" s="20">
        <f ca="1"/>
        <v>0</v>
      </c>
      <c r="AW27" s="20">
        <f ca="1"/>
        <v>0</v>
      </c>
      <c r="AX27" s="20">
        <f ca="1"/>
        <v>0</v>
      </c>
      <c r="AY27" s="20">
        <f ca="1"/>
        <v>0</v>
      </c>
      <c r="AZ27" s="20">
        <f ca="1"/>
        <v>0</v>
      </c>
      <c r="BA27" s="20">
        <f ca="1"/>
        <v>0</v>
      </c>
      <c r="BB27" s="20">
        <f ca="1"/>
        <v>0</v>
      </c>
      <c r="BC27" s="20">
        <f ca="1"/>
        <v>0</v>
      </c>
      <c r="BD27" s="20">
        <f ca="1"/>
        <v>0</v>
      </c>
    </row>
    <row r="28" spans="4:56" ht="17" customHeight="1" x14ac:dyDescent="0.2">
      <c r="F28" s="4">
        <v>20</v>
      </c>
      <c r="G28" s="2">
        <f ca="1"/>
        <v>1</v>
      </c>
      <c r="H28" s="2">
        <f ca="1"/>
        <v>2</v>
      </c>
      <c r="I28" s="2">
        <f ca="1"/>
        <v>2</v>
      </c>
      <c r="J28" s="2">
        <f ca="1"/>
        <v>2</v>
      </c>
      <c r="K28" s="2">
        <f ca="1"/>
        <v>0</v>
      </c>
      <c r="L28" s="2">
        <f ca="1"/>
        <v>32</v>
      </c>
      <c r="M28" s="2">
        <f ca="1"/>
        <v>97</v>
      </c>
      <c r="N28" s="2">
        <f ca="1"/>
        <v>88</v>
      </c>
      <c r="O28" s="2">
        <f ca="1"/>
        <v>65</v>
      </c>
      <c r="P28" s="2">
        <f ca="1"/>
        <v>61</v>
      </c>
      <c r="Q28" s="2">
        <f ca="1"/>
        <v>56</v>
      </c>
      <c r="R28" s="2">
        <f ca="1"/>
        <v>62</v>
      </c>
      <c r="S28" s="2">
        <f ca="1"/>
        <v>102</v>
      </c>
      <c r="T28" s="2">
        <f ca="1"/>
        <v>87</v>
      </c>
      <c r="U28" s="2">
        <f ca="1"/>
        <v>8</v>
      </c>
      <c r="V28" s="2">
        <f ca="1"/>
        <v>1</v>
      </c>
      <c r="W28" s="2">
        <f ca="1"/>
        <v>2</v>
      </c>
      <c r="X28" s="2">
        <f ca="1"/>
        <v>2</v>
      </c>
      <c r="Y28" s="2">
        <f ca="1"/>
        <v>2</v>
      </c>
      <c r="Z28" s="2">
        <f ca="1"/>
        <v>1</v>
      </c>
      <c r="AB28" s="20">
        <f ca="1"/>
        <v>0.67</v>
      </c>
      <c r="AC28" s="20">
        <f ca="1"/>
        <v>-0.84</v>
      </c>
      <c r="AD28" s="20">
        <f ca="1"/>
        <v>-0.66</v>
      </c>
      <c r="AE28" s="20">
        <f ca="1"/>
        <v>0.05</v>
      </c>
      <c r="AF28" s="20">
        <f ca="1"/>
        <v>-0.14000000000000001</v>
      </c>
      <c r="AG28" s="20">
        <f ca="1"/>
        <v>-0.71</v>
      </c>
      <c r="AH28" s="20">
        <f ca="1"/>
        <v>-0.67</v>
      </c>
      <c r="AI28" s="20">
        <f ca="1"/>
        <v>-0.79</v>
      </c>
      <c r="AJ28" s="20">
        <f ca="1"/>
        <v>-0.52</v>
      </c>
      <c r="AK28" s="20">
        <f ca="1"/>
        <v>0.81</v>
      </c>
      <c r="AM28" s="20">
        <f ca="1"/>
        <v>2.77</v>
      </c>
      <c r="AO28" s="20">
        <f ca="1"/>
        <v>0.62288617941887214</v>
      </c>
      <c r="AP28" s="20">
        <v>1</v>
      </c>
      <c r="AS28" s="20">
        <f ca="1"/>
        <v>-0.38</v>
      </c>
      <c r="AU28" s="20">
        <f ca="1"/>
        <v>-0.04</v>
      </c>
      <c r="AV28" s="20">
        <f ca="1"/>
        <v>-0.04</v>
      </c>
      <c r="AW28" s="20">
        <f ca="1"/>
        <v>-0.05</v>
      </c>
      <c r="AX28" s="20">
        <f ca="1"/>
        <v>-0.04</v>
      </c>
      <c r="AY28" s="20">
        <f ca="1"/>
        <v>-0.05</v>
      </c>
      <c r="AZ28" s="20">
        <f ca="1"/>
        <v>-0.06</v>
      </c>
      <c r="BA28" s="20">
        <f ca="1"/>
        <v>-0.05</v>
      </c>
      <c r="BB28" s="20">
        <f ca="1"/>
        <v>-0.06</v>
      </c>
      <c r="BC28" s="20">
        <f ca="1"/>
        <v>-0.02</v>
      </c>
      <c r="BD28" s="20">
        <f ca="1"/>
        <v>0.1</v>
      </c>
    </row>
    <row r="29" spans="4:56" ht="17" customHeight="1" x14ac:dyDescent="0.2">
      <c r="F29" s="4">
        <v>21</v>
      </c>
      <c r="G29" s="2">
        <f ca="1"/>
        <v>1</v>
      </c>
      <c r="H29" s="2">
        <f ca="1"/>
        <v>2</v>
      </c>
      <c r="I29" s="2">
        <f ca="1"/>
        <v>2</v>
      </c>
      <c r="J29" s="2">
        <f ca="1"/>
        <v>2</v>
      </c>
      <c r="K29" s="2">
        <f ca="1"/>
        <v>2</v>
      </c>
      <c r="L29" s="2">
        <f ca="1"/>
        <v>0</v>
      </c>
      <c r="M29" s="2">
        <f ca="1"/>
        <v>10</v>
      </c>
      <c r="N29" s="2">
        <f ca="1"/>
        <v>67</v>
      </c>
      <c r="O29" s="2">
        <f ca="1"/>
        <v>105</v>
      </c>
      <c r="P29" s="2">
        <f ca="1"/>
        <v>96</v>
      </c>
      <c r="Q29" s="2">
        <f ca="1"/>
        <v>85</v>
      </c>
      <c r="R29" s="2">
        <f ca="1"/>
        <v>89</v>
      </c>
      <c r="S29" s="2">
        <f ca="1"/>
        <v>44</v>
      </c>
      <c r="T29" s="2">
        <f ca="1"/>
        <v>0</v>
      </c>
      <c r="U29" s="2">
        <f ca="1"/>
        <v>1</v>
      </c>
      <c r="V29" s="2">
        <f ca="1"/>
        <v>2</v>
      </c>
      <c r="W29" s="2">
        <f ca="1"/>
        <v>2</v>
      </c>
      <c r="X29" s="2">
        <f ca="1"/>
        <v>2</v>
      </c>
      <c r="Y29" s="2">
        <f ca="1"/>
        <v>2</v>
      </c>
      <c r="Z29" s="2">
        <f ca="1"/>
        <v>0</v>
      </c>
      <c r="AB29" s="20">
        <f ca="1"/>
        <v>-0.72</v>
      </c>
      <c r="AC29" s="20">
        <f ca="1"/>
        <v>0.05</v>
      </c>
      <c r="AD29" s="20">
        <f ca="1"/>
        <v>0.06</v>
      </c>
      <c r="AE29" s="20">
        <f ca="1"/>
        <v>-0.48</v>
      </c>
      <c r="AF29" s="20">
        <f ca="1"/>
        <v>0.44</v>
      </c>
      <c r="AG29" s="20">
        <f ca="1"/>
        <v>-0.19</v>
      </c>
      <c r="AH29" s="20">
        <f ca="1"/>
        <v>-0.72</v>
      </c>
      <c r="AI29" s="20">
        <f ca="1"/>
        <v>0.21</v>
      </c>
      <c r="AJ29" s="20">
        <f ca="1"/>
        <v>-0.03</v>
      </c>
      <c r="AK29" s="20">
        <f ca="1"/>
        <v>0.3</v>
      </c>
      <c r="AM29" s="20">
        <f ca="1"/>
        <v>0.95</v>
      </c>
      <c r="AO29" s="20">
        <f ca="1"/>
        <v>0.10092360096667874</v>
      </c>
      <c r="AP29" s="20">
        <v>0</v>
      </c>
      <c r="AS29" s="20">
        <f ca="1"/>
        <v>0.1</v>
      </c>
      <c r="AU29" s="20">
        <f ca="1"/>
        <v>0.01</v>
      </c>
      <c r="AV29" s="20">
        <f ca="1"/>
        <v>0.01</v>
      </c>
      <c r="AW29" s="20">
        <f ca="1"/>
        <v>0.01</v>
      </c>
      <c r="AX29" s="20">
        <f ca="1"/>
        <v>0.01</v>
      </c>
      <c r="AY29" s="20">
        <f ca="1"/>
        <v>0.01</v>
      </c>
      <c r="AZ29" s="20">
        <f ca="1"/>
        <v>0.02</v>
      </c>
      <c r="BA29" s="20">
        <f ca="1"/>
        <v>0.01</v>
      </c>
      <c r="BB29" s="20">
        <f ca="1"/>
        <v>0.02</v>
      </c>
      <c r="BC29" s="20">
        <f ca="1"/>
        <v>0.01</v>
      </c>
      <c r="BD29" s="20">
        <f ca="1"/>
        <v>-0.03</v>
      </c>
    </row>
    <row r="30" spans="4:56" ht="17" customHeight="1" x14ac:dyDescent="0.2">
      <c r="F30" s="4">
        <v>22</v>
      </c>
      <c r="G30" s="2">
        <f ca="1"/>
        <v>1</v>
      </c>
      <c r="H30" s="2">
        <f ca="1"/>
        <v>2</v>
      </c>
      <c r="I30" s="2">
        <f ca="1"/>
        <v>2</v>
      </c>
      <c r="J30" s="2">
        <f ca="1"/>
        <v>2</v>
      </c>
      <c r="K30" s="2">
        <f ca="1"/>
        <v>2</v>
      </c>
      <c r="L30" s="2">
        <f ca="1"/>
        <v>2</v>
      </c>
      <c r="M30" s="2">
        <f ca="1"/>
        <v>1</v>
      </c>
      <c r="N30" s="2">
        <f ca="1"/>
        <v>0</v>
      </c>
      <c r="O30" s="2">
        <f ca="1"/>
        <v>3</v>
      </c>
      <c r="P30" s="2">
        <f ca="1"/>
        <v>10</v>
      </c>
      <c r="Q30" s="2">
        <f ca="1"/>
        <v>8</v>
      </c>
      <c r="R30" s="2">
        <f ca="1"/>
        <v>0</v>
      </c>
      <c r="S30" s="2">
        <f ca="1"/>
        <v>0</v>
      </c>
      <c r="T30" s="2">
        <f ca="1"/>
        <v>2</v>
      </c>
      <c r="U30" s="2">
        <f ca="1"/>
        <v>2</v>
      </c>
      <c r="V30" s="2">
        <f ca="1"/>
        <v>2</v>
      </c>
      <c r="W30" s="2">
        <f ca="1"/>
        <v>2</v>
      </c>
      <c r="X30" s="2">
        <f ca="1"/>
        <v>2</v>
      </c>
      <c r="Y30" s="2">
        <f ca="1"/>
        <v>2</v>
      </c>
      <c r="Z30" s="2">
        <f ca="1"/>
        <v>0</v>
      </c>
      <c r="AB30" s="20">
        <f ca="1"/>
        <v>-0.12</v>
      </c>
      <c r="AC30" s="20">
        <f ca="1"/>
        <v>-0.81</v>
      </c>
      <c r="AD30" s="20">
        <f ca="1"/>
        <v>-0.91</v>
      </c>
      <c r="AE30" s="20">
        <f ca="1"/>
        <v>0.72</v>
      </c>
      <c r="AF30" s="20">
        <f ca="1"/>
        <v>-0.46</v>
      </c>
      <c r="AG30" s="20">
        <f ca="1"/>
        <v>-0.08</v>
      </c>
      <c r="AH30" s="20">
        <f ca="1"/>
        <v>-0.8</v>
      </c>
      <c r="AI30" s="20">
        <f ca="1"/>
        <v>-0.18</v>
      </c>
      <c r="AJ30" s="20">
        <f ca="1"/>
        <v>0.09</v>
      </c>
      <c r="AK30" s="20">
        <f ca="1"/>
        <v>0.51</v>
      </c>
      <c r="AM30" s="20">
        <f ca="1"/>
        <v>1.91</v>
      </c>
      <c r="AO30" s="20">
        <f ca="1"/>
        <v>0.26358181272983683</v>
      </c>
      <c r="AP30" s="20">
        <v>0</v>
      </c>
      <c r="AS30" s="20">
        <f ca="1"/>
        <v>0.26</v>
      </c>
      <c r="AU30" s="20">
        <f ca="1"/>
        <v>0.03</v>
      </c>
      <c r="AV30" s="20">
        <f ca="1"/>
        <v>0.03</v>
      </c>
      <c r="AW30" s="20">
        <f ca="1"/>
        <v>0.03</v>
      </c>
      <c r="AX30" s="20">
        <f ca="1"/>
        <v>0.03</v>
      </c>
      <c r="AY30" s="20">
        <f ca="1"/>
        <v>0.03</v>
      </c>
      <c r="AZ30" s="20">
        <f ca="1"/>
        <v>0.04</v>
      </c>
      <c r="BA30" s="20">
        <f ca="1"/>
        <v>0.04</v>
      </c>
      <c r="BB30" s="20">
        <f ca="1"/>
        <v>0.04</v>
      </c>
      <c r="BC30" s="20">
        <f ca="1"/>
        <v>0.02</v>
      </c>
      <c r="BD30" s="20">
        <f ca="1"/>
        <v>-7.0000000000000007E-2</v>
      </c>
    </row>
    <row r="31" spans="4:56" ht="17" customHeight="1" x14ac:dyDescent="0.2">
      <c r="F31" s="4">
        <v>23</v>
      </c>
      <c r="G31" s="2">
        <f ca="1"/>
        <v>0</v>
      </c>
      <c r="H31" s="2">
        <f ca="1"/>
        <v>2</v>
      </c>
      <c r="I31" s="2">
        <f ca="1"/>
        <v>2</v>
      </c>
      <c r="J31" s="2">
        <f ca="1"/>
        <v>2</v>
      </c>
      <c r="K31" s="2">
        <f ca="1"/>
        <v>2</v>
      </c>
      <c r="L31" s="2">
        <f ca="1"/>
        <v>2</v>
      </c>
      <c r="M31" s="2">
        <f ca="1"/>
        <v>2</v>
      </c>
      <c r="N31" s="2">
        <f ca="1"/>
        <v>2</v>
      </c>
      <c r="O31" s="2">
        <f ca="1"/>
        <v>2</v>
      </c>
      <c r="P31" s="2">
        <f ca="1"/>
        <v>1</v>
      </c>
      <c r="Q31" s="2">
        <f ca="1"/>
        <v>1</v>
      </c>
      <c r="R31" s="2">
        <f ca="1"/>
        <v>2</v>
      </c>
      <c r="S31" s="2">
        <f ca="1"/>
        <v>2</v>
      </c>
      <c r="T31" s="2">
        <f ca="1"/>
        <v>2</v>
      </c>
      <c r="U31" s="2">
        <f ca="1"/>
        <v>2</v>
      </c>
      <c r="V31" s="2">
        <f ca="1"/>
        <v>2</v>
      </c>
      <c r="W31" s="2">
        <f ca="1"/>
        <v>2</v>
      </c>
      <c r="X31" s="2">
        <f ca="1"/>
        <v>3</v>
      </c>
      <c r="Y31" s="2">
        <f ca="1"/>
        <v>2</v>
      </c>
      <c r="Z31" s="2">
        <f ca="1"/>
        <v>0</v>
      </c>
    </row>
    <row r="32" spans="4:56" ht="17" customHeight="1" x14ac:dyDescent="0.2">
      <c r="F32" s="4">
        <v>24</v>
      </c>
      <c r="G32" s="2">
        <f ca="1"/>
        <v>0</v>
      </c>
      <c r="H32" s="2">
        <f ca="1"/>
        <v>1</v>
      </c>
      <c r="I32" s="2">
        <f ca="1"/>
        <v>1</v>
      </c>
      <c r="J32" s="2">
        <f ca="1"/>
        <v>1</v>
      </c>
      <c r="K32" s="2">
        <f ca="1"/>
        <v>1</v>
      </c>
      <c r="L32" s="2">
        <f ca="1"/>
        <v>2</v>
      </c>
      <c r="M32" s="2">
        <f ca="1"/>
        <v>1</v>
      </c>
      <c r="N32" s="2">
        <f ca="1"/>
        <v>2</v>
      </c>
      <c r="O32" s="2">
        <f ca="1"/>
        <v>2</v>
      </c>
      <c r="P32" s="2">
        <f ca="1"/>
        <v>1</v>
      </c>
      <c r="Q32" s="2">
        <f ca="1"/>
        <v>1</v>
      </c>
      <c r="R32" s="2">
        <f ca="1"/>
        <v>1</v>
      </c>
      <c r="S32" s="2">
        <f ca="1"/>
        <v>1</v>
      </c>
      <c r="T32" s="2">
        <f ca="1"/>
        <v>1</v>
      </c>
      <c r="U32" s="2">
        <f ca="1"/>
        <v>1</v>
      </c>
      <c r="V32" s="2">
        <f ca="1"/>
        <v>1</v>
      </c>
      <c r="W32" s="2">
        <f ca="1"/>
        <v>1</v>
      </c>
      <c r="X32" s="2">
        <f ca="1"/>
        <v>1</v>
      </c>
      <c r="Y32" s="2">
        <f ca="1"/>
        <v>1</v>
      </c>
      <c r="Z32" s="2">
        <f ca="1"/>
        <v>0</v>
      </c>
    </row>
    <row r="34" spans="1:57" s="52" customFormat="1" ht="17" customHeight="1" x14ac:dyDescent="0.2">
      <c r="A34" s="103"/>
      <c r="B34" s="103"/>
      <c r="C34" s="107" t="s">
        <v>70</v>
      </c>
      <c r="D34" s="107">
        <v>2</v>
      </c>
      <c r="E34" s="107"/>
      <c r="F34" s="107"/>
      <c r="G34" s="108" t="str" cm="1">
        <f t="array" ref="G34:H34">C34:D34</f>
        <v>Epoch</v>
      </c>
      <c r="H34" s="107">
        <v>2</v>
      </c>
      <c r="I34" s="107"/>
      <c r="J34" s="108"/>
      <c r="K34" s="107" t="str" cm="1">
        <f t="array" ref="K34:L34">_xlfn.ANCHORARRAY(G34)</f>
        <v>Epoch</v>
      </c>
      <c r="L34" s="107">
        <v>2</v>
      </c>
      <c r="M34" s="108"/>
      <c r="N34" s="107"/>
      <c r="O34" s="107" t="str" cm="1">
        <f t="array" ref="O34:P34">_xlfn.ANCHORARRAY(K34)</f>
        <v>Epoch</v>
      </c>
      <c r="P34" s="108">
        <v>2</v>
      </c>
      <c r="Q34" s="107"/>
      <c r="R34" s="107"/>
      <c r="S34" s="108" t="str" cm="1">
        <f t="array" ref="S34:T34">_xlfn.ANCHORARRAY(O34)</f>
        <v>Epoch</v>
      </c>
      <c r="T34" s="107">
        <v>2</v>
      </c>
      <c r="U34" s="107"/>
      <c r="V34" s="108"/>
      <c r="W34" s="107" t="str" cm="1">
        <f t="array" ref="W34:X34">_xlfn.ANCHORARRAY(S34)</f>
        <v>Epoch</v>
      </c>
      <c r="X34" s="107">
        <v>2</v>
      </c>
      <c r="Y34" s="108"/>
      <c r="Z34" s="107"/>
      <c r="AA34" s="107" t="str" cm="1">
        <f t="array" ref="AA34:AB34">_xlfn.ANCHORARRAY(W34)</f>
        <v>Epoch</v>
      </c>
      <c r="AB34" s="108">
        <v>2</v>
      </c>
      <c r="AC34" s="107"/>
      <c r="AD34" s="107"/>
      <c r="AE34" s="108" t="str" cm="1">
        <f t="array" ref="AE34:AF34">_xlfn.ANCHORARRAY(AA34)</f>
        <v>Epoch</v>
      </c>
      <c r="AF34" s="107">
        <v>2</v>
      </c>
      <c r="AG34" s="107"/>
      <c r="AH34" s="108"/>
      <c r="AI34" s="107" t="str" cm="1">
        <f t="array" ref="AI34:AJ34">_xlfn.ANCHORARRAY(AE34)</f>
        <v>Epoch</v>
      </c>
      <c r="AJ34" s="107">
        <v>2</v>
      </c>
      <c r="AK34" s="107"/>
      <c r="AL34" s="107"/>
      <c r="AM34" s="107" t="str" cm="1">
        <f t="array" ref="AM34:AN34">_xlfn.ANCHORARRAY(AI34)</f>
        <v>Epoch</v>
      </c>
      <c r="AN34" s="108">
        <v>2</v>
      </c>
      <c r="AO34" s="107"/>
      <c r="AP34" s="107"/>
      <c r="AQ34" s="108" t="str" cm="1">
        <f t="array" ref="AQ34:AR34">_xlfn.ANCHORARRAY(AM34)</f>
        <v>Epoch</v>
      </c>
      <c r="AR34" s="107">
        <v>2</v>
      </c>
      <c r="AS34" s="107"/>
      <c r="AT34" s="107"/>
      <c r="AU34" s="107" t="str" cm="1">
        <f t="array" ref="AU34:AV34">_xlfn.ANCHORARRAY(AQ34)</f>
        <v>Epoch</v>
      </c>
      <c r="AV34" s="107">
        <v>2</v>
      </c>
      <c r="AW34" s="108"/>
      <c r="AX34" s="107"/>
      <c r="AY34" s="107" t="str" cm="1">
        <f t="array" ref="AY34:AZ34">_xlfn.ANCHORARRAY(AU34)</f>
        <v>Epoch</v>
      </c>
      <c r="AZ34" s="108">
        <v>2</v>
      </c>
      <c r="BA34" s="107"/>
      <c r="BB34" s="107"/>
      <c r="BC34" s="107"/>
      <c r="BD34" s="107"/>
      <c r="BE34" s="107"/>
    </row>
    <row r="35" spans="1:57" s="52" customFormat="1" ht="17" customHeight="1" x14ac:dyDescent="0.2">
      <c r="A35" s="103"/>
      <c r="B35" s="103"/>
      <c r="C35" s="103"/>
      <c r="D35" s="103"/>
      <c r="E35" s="103"/>
      <c r="F35" s="103"/>
      <c r="G35" s="104"/>
      <c r="H35" s="103"/>
      <c r="I35" s="103"/>
      <c r="J35" s="104"/>
      <c r="K35" s="103"/>
      <c r="L35" s="103"/>
      <c r="M35" s="104"/>
      <c r="N35" s="103"/>
      <c r="O35" s="103"/>
      <c r="P35" s="104"/>
      <c r="Q35" s="103"/>
      <c r="R35" s="103"/>
      <c r="S35" s="104"/>
      <c r="T35" s="103"/>
      <c r="U35" s="103"/>
      <c r="V35" s="104"/>
      <c r="W35" s="103"/>
      <c r="X35" s="103"/>
      <c r="Y35" s="104"/>
      <c r="Z35" s="103"/>
      <c r="AA35" s="103"/>
      <c r="AB35" s="104"/>
      <c r="AC35" s="103"/>
      <c r="AD35" s="103"/>
      <c r="AE35" s="104"/>
      <c r="AF35" s="103"/>
      <c r="AG35" s="103"/>
      <c r="AH35" s="104"/>
      <c r="AI35" s="103"/>
      <c r="AJ35" s="103"/>
      <c r="AK35" s="103"/>
      <c r="AL35" s="103"/>
      <c r="AM35" s="103"/>
      <c r="AN35" s="104"/>
      <c r="AO35" s="103"/>
      <c r="AP35" s="103"/>
      <c r="AQ35" s="104"/>
      <c r="AR35" s="103"/>
      <c r="AS35" s="103"/>
      <c r="AT35" s="103"/>
      <c r="AU35" s="103"/>
      <c r="AV35" s="103"/>
      <c r="AW35" s="104"/>
      <c r="AX35" s="103"/>
      <c r="AY35" s="103"/>
      <c r="AZ35" s="104"/>
      <c r="BA35" s="103"/>
      <c r="BB35" s="103"/>
      <c r="BC35" s="103"/>
      <c r="BD35" s="103"/>
      <c r="BE35" s="103"/>
    </row>
    <row r="36" spans="1:57" ht="17" customHeight="1" x14ac:dyDescent="0.2">
      <c r="C36" s="52"/>
      <c r="G36" s="2">
        <v>1</v>
      </c>
      <c r="H36" s="2">
        <v>2</v>
      </c>
      <c r="I36" s="2">
        <v>3</v>
      </c>
      <c r="J36" s="2">
        <v>4</v>
      </c>
      <c r="K36" s="2">
        <v>5</v>
      </c>
      <c r="L36" s="2">
        <v>6</v>
      </c>
      <c r="M36" s="2">
        <v>7</v>
      </c>
      <c r="N36" s="2">
        <v>8</v>
      </c>
      <c r="O36" s="2">
        <v>9</v>
      </c>
      <c r="P36" s="2">
        <v>10</v>
      </c>
      <c r="Q36" s="2">
        <v>11</v>
      </c>
      <c r="R36" s="2">
        <v>12</v>
      </c>
      <c r="S36" s="2">
        <v>13</v>
      </c>
      <c r="T36" s="2">
        <v>14</v>
      </c>
      <c r="U36" s="2">
        <v>15</v>
      </c>
      <c r="V36" s="2">
        <v>16</v>
      </c>
      <c r="W36" s="2">
        <v>17</v>
      </c>
      <c r="X36" s="2">
        <v>18</v>
      </c>
      <c r="Y36" s="2">
        <v>19</v>
      </c>
      <c r="Z36" s="2">
        <v>20</v>
      </c>
    </row>
    <row r="37" spans="1:57" ht="17" customHeight="1" x14ac:dyDescent="0.2">
      <c r="D37" s="18"/>
      <c r="E37" s="2"/>
      <c r="F37" s="4">
        <v>1</v>
      </c>
      <c r="G37" s="2" cm="1">
        <f t="array" aca="1" ref="G37:Z60" ca="1">OFFSET('Dataset-Tumor'!D5, 24*(E38-1), 20*(E39-1), 24, 20)</f>
        <v>0</v>
      </c>
      <c r="H37" s="2">
        <f ca="1"/>
        <v>0</v>
      </c>
      <c r="I37" s="2">
        <f ca="1"/>
        <v>0</v>
      </c>
      <c r="J37" s="2">
        <f ca="1"/>
        <v>0</v>
      </c>
      <c r="K37" s="2">
        <f ca="1"/>
        <v>1</v>
      </c>
      <c r="L37" s="2">
        <f ca="1"/>
        <v>1</v>
      </c>
      <c r="M37" s="2">
        <f ca="1"/>
        <v>1</v>
      </c>
      <c r="N37" s="2">
        <f ca="1"/>
        <v>1</v>
      </c>
      <c r="O37" s="2">
        <f ca="1"/>
        <v>1</v>
      </c>
      <c r="P37" s="2">
        <f ca="1"/>
        <v>1</v>
      </c>
      <c r="Q37" s="2">
        <f ca="1"/>
        <v>1</v>
      </c>
      <c r="R37" s="2">
        <f ca="1"/>
        <v>1</v>
      </c>
      <c r="S37" s="2">
        <f ca="1"/>
        <v>1</v>
      </c>
      <c r="T37" s="2">
        <f ca="1"/>
        <v>1</v>
      </c>
      <c r="U37" s="2">
        <f ca="1"/>
        <v>1</v>
      </c>
      <c r="V37" s="2">
        <f ca="1"/>
        <v>1</v>
      </c>
      <c r="W37" s="2">
        <f ca="1"/>
        <v>0</v>
      </c>
      <c r="X37" s="2">
        <f ca="1"/>
        <v>0</v>
      </c>
      <c r="Y37" s="2">
        <f ca="1"/>
        <v>0</v>
      </c>
      <c r="Z37" s="2">
        <f ca="1"/>
        <v>0</v>
      </c>
    </row>
    <row r="38" spans="1:57" ht="17" customHeight="1" x14ac:dyDescent="0.2">
      <c r="D38" s="16" t="s">
        <v>25</v>
      </c>
      <c r="E38" s="49">
        <v>2</v>
      </c>
      <c r="F38" s="4">
        <v>2</v>
      </c>
      <c r="G38" s="2">
        <f ca="1"/>
        <v>0</v>
      </c>
      <c r="H38" s="2">
        <f ca="1"/>
        <v>3</v>
      </c>
      <c r="I38" s="2">
        <f ca="1"/>
        <v>4</v>
      </c>
      <c r="J38" s="2">
        <f ca="1"/>
        <v>4</v>
      </c>
      <c r="K38" s="2">
        <f ca="1"/>
        <v>4</v>
      </c>
      <c r="L38" s="2">
        <f ca="1"/>
        <v>4</v>
      </c>
      <c r="M38" s="2">
        <f ca="1"/>
        <v>4</v>
      </c>
      <c r="N38" s="2">
        <f ca="1"/>
        <v>4</v>
      </c>
      <c r="O38" s="2">
        <f ca="1"/>
        <v>4</v>
      </c>
      <c r="P38" s="2">
        <f ca="1"/>
        <v>4</v>
      </c>
      <c r="Q38" s="2">
        <f ca="1"/>
        <v>4</v>
      </c>
      <c r="R38" s="2">
        <f ca="1"/>
        <v>3</v>
      </c>
      <c r="S38" s="2">
        <f ca="1"/>
        <v>3</v>
      </c>
      <c r="T38" s="2">
        <f ca="1"/>
        <v>3</v>
      </c>
      <c r="U38" s="2">
        <f ca="1"/>
        <v>4</v>
      </c>
      <c r="V38" s="2">
        <f ca="1"/>
        <v>3</v>
      </c>
      <c r="W38" s="2">
        <f ca="1"/>
        <v>4</v>
      </c>
      <c r="X38" s="2">
        <f ca="1"/>
        <v>4</v>
      </c>
      <c r="Y38" s="2">
        <f ca="1"/>
        <v>3</v>
      </c>
      <c r="Z38" s="2">
        <f ca="1"/>
        <v>0</v>
      </c>
    </row>
    <row r="39" spans="1:57" ht="17" customHeight="1" x14ac:dyDescent="0.2">
      <c r="D39" s="16" t="s">
        <v>21</v>
      </c>
      <c r="E39" s="49">
        <v>2</v>
      </c>
      <c r="F39" s="4">
        <v>3</v>
      </c>
      <c r="G39" s="2">
        <f ca="1"/>
        <v>0</v>
      </c>
      <c r="H39" s="2">
        <f ca="1"/>
        <v>3</v>
      </c>
      <c r="I39" s="2">
        <f ca="1"/>
        <v>4</v>
      </c>
      <c r="J39" s="2">
        <f ca="1"/>
        <v>4</v>
      </c>
      <c r="K39" s="2">
        <f ca="1"/>
        <v>3</v>
      </c>
      <c r="L39" s="2">
        <f ca="1"/>
        <v>4</v>
      </c>
      <c r="M39" s="2">
        <f ca="1"/>
        <v>4</v>
      </c>
      <c r="N39" s="2">
        <f ca="1"/>
        <v>4</v>
      </c>
      <c r="O39" s="2">
        <f ca="1"/>
        <v>4</v>
      </c>
      <c r="P39" s="2">
        <f ca="1"/>
        <v>4</v>
      </c>
      <c r="Q39" s="2">
        <f ca="1"/>
        <v>4</v>
      </c>
      <c r="R39" s="2">
        <f ca="1"/>
        <v>4</v>
      </c>
      <c r="S39" s="2">
        <f ca="1"/>
        <v>4</v>
      </c>
      <c r="T39" s="2">
        <f ca="1"/>
        <v>3</v>
      </c>
      <c r="U39" s="2">
        <f ca="1"/>
        <v>4</v>
      </c>
      <c r="V39" s="2">
        <f ca="1"/>
        <v>3</v>
      </c>
      <c r="W39" s="2">
        <f ca="1"/>
        <v>4</v>
      </c>
      <c r="X39" s="2">
        <f ca="1"/>
        <v>4</v>
      </c>
      <c r="Y39" s="2">
        <f ca="1"/>
        <v>3</v>
      </c>
      <c r="Z39" s="2">
        <f ca="1"/>
        <v>0</v>
      </c>
    </row>
    <row r="40" spans="1:57" ht="17" customHeight="1" x14ac:dyDescent="0.2">
      <c r="F40" s="4">
        <v>4</v>
      </c>
      <c r="G40" s="2">
        <f ca="1"/>
        <v>0</v>
      </c>
      <c r="H40" s="2">
        <f ca="1"/>
        <v>3</v>
      </c>
      <c r="I40" s="2">
        <f ca="1"/>
        <v>4</v>
      </c>
      <c r="J40" s="2">
        <f ca="1"/>
        <v>4</v>
      </c>
      <c r="K40" s="2">
        <f ca="1"/>
        <v>4</v>
      </c>
      <c r="L40" s="2">
        <f ca="1"/>
        <v>4</v>
      </c>
      <c r="M40" s="2">
        <f ca="1"/>
        <v>4</v>
      </c>
      <c r="N40" s="2">
        <f ca="1"/>
        <v>5</v>
      </c>
      <c r="O40" s="2">
        <f ca="1"/>
        <v>5</v>
      </c>
      <c r="P40" s="2">
        <f ca="1"/>
        <v>4</v>
      </c>
      <c r="Q40" s="2">
        <f ca="1"/>
        <v>4</v>
      </c>
      <c r="R40" s="2">
        <f ca="1"/>
        <v>5</v>
      </c>
      <c r="S40" s="2">
        <f ca="1"/>
        <v>4</v>
      </c>
      <c r="T40" s="2">
        <f ca="1"/>
        <v>4</v>
      </c>
      <c r="U40" s="2">
        <f ca="1"/>
        <v>4</v>
      </c>
      <c r="V40" s="2">
        <f ca="1"/>
        <v>3</v>
      </c>
      <c r="W40" s="2">
        <f ca="1"/>
        <v>4</v>
      </c>
      <c r="X40" s="2">
        <f ca="1"/>
        <v>4</v>
      </c>
      <c r="Y40" s="2">
        <f ca="1"/>
        <v>4</v>
      </c>
      <c r="Z40" s="2">
        <f ca="1"/>
        <v>0</v>
      </c>
    </row>
    <row r="41" spans="1:57" ht="17" customHeight="1" x14ac:dyDescent="0.2">
      <c r="E41" s="4" t="s">
        <v>16</v>
      </c>
      <c r="F41" s="4">
        <v>5</v>
      </c>
      <c r="G41" s="2">
        <f ca="1"/>
        <v>0</v>
      </c>
      <c r="H41" s="2">
        <f ca="1"/>
        <v>3</v>
      </c>
      <c r="I41" s="2">
        <f ca="1"/>
        <v>4</v>
      </c>
      <c r="J41" s="2">
        <f ca="1"/>
        <v>3</v>
      </c>
      <c r="K41" s="2">
        <f ca="1"/>
        <v>4</v>
      </c>
      <c r="L41" s="2">
        <f ca="1"/>
        <v>5</v>
      </c>
      <c r="M41" s="2">
        <f ca="1"/>
        <v>5</v>
      </c>
      <c r="N41" s="2">
        <f ca="1"/>
        <v>2</v>
      </c>
      <c r="O41" s="2">
        <f ca="1"/>
        <v>2</v>
      </c>
      <c r="P41" s="2">
        <f ca="1"/>
        <v>6</v>
      </c>
      <c r="Q41" s="2">
        <f ca="1"/>
        <v>6</v>
      </c>
      <c r="R41" s="2">
        <f ca="1"/>
        <v>1</v>
      </c>
      <c r="S41" s="2">
        <f ca="1"/>
        <v>1</v>
      </c>
      <c r="T41" s="2">
        <f ca="1"/>
        <v>4</v>
      </c>
      <c r="U41" s="2">
        <f ca="1"/>
        <v>4</v>
      </c>
      <c r="V41" s="2">
        <f ca="1"/>
        <v>3</v>
      </c>
      <c r="W41" s="2">
        <f ca="1"/>
        <v>3</v>
      </c>
      <c r="X41" s="2">
        <f ca="1"/>
        <v>4</v>
      </c>
      <c r="Y41" s="2">
        <f ca="1"/>
        <v>4</v>
      </c>
      <c r="Z41" s="2">
        <f ca="1"/>
        <v>1</v>
      </c>
    </row>
    <row r="42" spans="1:57" ht="17" customHeight="1" x14ac:dyDescent="0.2">
      <c r="D42" s="16" t="s">
        <v>20</v>
      </c>
      <c r="E42" s="35" cm="1">
        <f t="array" ref="E42:E45">TRANSPOSE(IF(_xlfn.SEQUENCE(1, COUNT([0]!Classes),1,1)=E38,1,0))</f>
        <v>0</v>
      </c>
      <c r="F42" s="4">
        <v>6</v>
      </c>
      <c r="G42" s="2">
        <f ca="1"/>
        <v>1</v>
      </c>
      <c r="H42" s="2">
        <f ca="1"/>
        <v>3</v>
      </c>
      <c r="I42" s="2">
        <f ca="1"/>
        <v>4</v>
      </c>
      <c r="J42" s="2">
        <f ca="1"/>
        <v>4</v>
      </c>
      <c r="K42" s="2">
        <f ca="1"/>
        <v>5</v>
      </c>
      <c r="L42" s="2">
        <f ca="1"/>
        <v>5</v>
      </c>
      <c r="M42" s="2">
        <f ca="1"/>
        <v>4</v>
      </c>
      <c r="N42" s="2">
        <f ca="1"/>
        <v>44</v>
      </c>
      <c r="O42" s="2">
        <f ca="1"/>
        <v>105</v>
      </c>
      <c r="P42" s="2">
        <f ca="1"/>
        <v>130</v>
      </c>
      <c r="Q42" s="2">
        <f ca="1"/>
        <v>132</v>
      </c>
      <c r="R42" s="2">
        <f ca="1"/>
        <v>108</v>
      </c>
      <c r="S42" s="2">
        <f ca="1"/>
        <v>48</v>
      </c>
      <c r="T42" s="2">
        <f ca="1"/>
        <v>3</v>
      </c>
      <c r="U42" s="2">
        <f ca="1"/>
        <v>4</v>
      </c>
      <c r="V42" s="2">
        <f ca="1"/>
        <v>4</v>
      </c>
      <c r="W42" s="2">
        <f ca="1"/>
        <v>4</v>
      </c>
      <c r="X42" s="2">
        <f ca="1"/>
        <v>4</v>
      </c>
      <c r="Y42" s="2">
        <f ca="1"/>
        <v>4</v>
      </c>
      <c r="Z42" s="2">
        <f ca="1"/>
        <v>1</v>
      </c>
      <c r="AE42" s="2" t="s">
        <v>4</v>
      </c>
      <c r="AI42" s="2" t="s">
        <v>7</v>
      </c>
      <c r="AM42" s="2" t="s">
        <v>6</v>
      </c>
    </row>
    <row r="43" spans="1:57" ht="17" customHeight="1" x14ac:dyDescent="0.2">
      <c r="D43" s="16" t="s">
        <v>8</v>
      </c>
      <c r="E43" s="35">
        <v>1</v>
      </c>
      <c r="F43" s="4">
        <v>7</v>
      </c>
      <c r="G43" s="2">
        <f ca="1"/>
        <v>1</v>
      </c>
      <c r="H43" s="2">
        <f ca="1"/>
        <v>4</v>
      </c>
      <c r="I43" s="2">
        <f ca="1"/>
        <v>4</v>
      </c>
      <c r="J43" s="2">
        <f ca="1"/>
        <v>5</v>
      </c>
      <c r="K43" s="2">
        <f ca="1"/>
        <v>5</v>
      </c>
      <c r="L43" s="2">
        <f ca="1"/>
        <v>4</v>
      </c>
      <c r="M43" s="2">
        <f ca="1"/>
        <v>71</v>
      </c>
      <c r="N43" s="2">
        <f ca="1"/>
        <v>144</v>
      </c>
      <c r="O43" s="2">
        <f ca="1"/>
        <v>115</v>
      </c>
      <c r="P43" s="2">
        <f ca="1"/>
        <v>98</v>
      </c>
      <c r="Q43" s="2">
        <f ca="1"/>
        <v>102</v>
      </c>
      <c r="R43" s="2">
        <f ca="1"/>
        <v>129</v>
      </c>
      <c r="S43" s="2">
        <f ca="1"/>
        <v>155</v>
      </c>
      <c r="T43" s="2">
        <f ca="1"/>
        <v>79</v>
      </c>
      <c r="U43" s="2">
        <f ca="1"/>
        <v>1</v>
      </c>
      <c r="V43" s="2">
        <f ca="1"/>
        <v>5</v>
      </c>
      <c r="W43" s="2">
        <f ca="1"/>
        <v>4</v>
      </c>
      <c r="X43" s="2">
        <f ca="1"/>
        <v>4</v>
      </c>
      <c r="Y43" s="2">
        <f ca="1"/>
        <v>4</v>
      </c>
      <c r="Z43" s="2">
        <f ca="1"/>
        <v>1</v>
      </c>
      <c r="AE43" s="21" cm="1">
        <f t="array" aca="1" ref="AE43:AG45" ca="1">OFFSET(G37,$AE$10-1,$AE$11-1,3,3)</f>
        <v>87</v>
      </c>
      <c r="AF43" s="21">
        <f ca="1"/>
        <v>81</v>
      </c>
      <c r="AG43" s="21">
        <f ca="1"/>
        <v>72</v>
      </c>
      <c r="AH43" s="36"/>
      <c r="AI43" s="21" cm="1">
        <f t="array" aca="1" ref="AI43:AK45" ca="1">ROUND((_xlfn.ANCHORARRAY(AE43)-127.5)/127.5,2)</f>
        <v>-0.32</v>
      </c>
      <c r="AJ43" s="21">
        <f ca="1"/>
        <v>-0.36</v>
      </c>
      <c r="AK43" s="21">
        <f ca="1"/>
        <v>-0.44</v>
      </c>
      <c r="AL43" s="36"/>
      <c r="AM43" s="21" cm="1">
        <f t="array" aca="1" ref="AM43:AM51" ca="1">ROUND(_xlfn.TOCOL(_xlfn.ANCHORARRAY(AI43)),2)</f>
        <v>-0.32</v>
      </c>
    </row>
    <row r="44" spans="1:57" ht="17" customHeight="1" x14ac:dyDescent="0.2">
      <c r="D44" s="16" t="s">
        <v>9</v>
      </c>
      <c r="E44" s="35">
        <v>0</v>
      </c>
      <c r="F44" s="4">
        <v>8</v>
      </c>
      <c r="G44" s="2">
        <f ca="1"/>
        <v>1</v>
      </c>
      <c r="H44" s="2">
        <f ca="1"/>
        <v>4</v>
      </c>
      <c r="I44" s="2">
        <f ca="1"/>
        <v>5</v>
      </c>
      <c r="J44" s="2">
        <f ca="1"/>
        <v>5</v>
      </c>
      <c r="K44" s="2">
        <f ca="1"/>
        <v>2</v>
      </c>
      <c r="L44" s="2">
        <f ca="1"/>
        <v>44</v>
      </c>
      <c r="M44" s="2">
        <f ca="1"/>
        <v>137</v>
      </c>
      <c r="N44" s="2">
        <f ca="1"/>
        <v>76</v>
      </c>
      <c r="O44" s="2">
        <f ca="1"/>
        <v>63</v>
      </c>
      <c r="P44" s="2">
        <f ca="1"/>
        <v>85</v>
      </c>
      <c r="Q44" s="2">
        <f ca="1"/>
        <v>95</v>
      </c>
      <c r="R44" s="2">
        <f ca="1"/>
        <v>63</v>
      </c>
      <c r="S44" s="2">
        <f ca="1"/>
        <v>79</v>
      </c>
      <c r="T44" s="2">
        <f ca="1"/>
        <v>153</v>
      </c>
      <c r="U44" s="2">
        <f ca="1"/>
        <v>57</v>
      </c>
      <c r="V44" s="2">
        <f ca="1"/>
        <v>1</v>
      </c>
      <c r="W44" s="2">
        <f ca="1"/>
        <v>5</v>
      </c>
      <c r="X44" s="2">
        <f ca="1"/>
        <v>4</v>
      </c>
      <c r="Y44" s="2">
        <f ca="1"/>
        <v>4</v>
      </c>
      <c r="Z44" s="2">
        <f ca="1"/>
        <v>1</v>
      </c>
      <c r="AE44" s="21">
        <f ca="1"/>
        <v>88</v>
      </c>
      <c r="AF44" s="21">
        <f ca="1"/>
        <v>100</v>
      </c>
      <c r="AG44" s="21">
        <f ca="1"/>
        <v>156</v>
      </c>
      <c r="AH44" s="36"/>
      <c r="AI44" s="21">
        <f ca="1"/>
        <v>-0.31</v>
      </c>
      <c r="AJ44" s="21">
        <f ca="1"/>
        <v>-0.22</v>
      </c>
      <c r="AK44" s="21">
        <f ca="1"/>
        <v>0.22</v>
      </c>
      <c r="AL44" s="36"/>
      <c r="AM44" s="21">
        <f ca="1"/>
        <v>-0.36</v>
      </c>
    </row>
    <row r="45" spans="1:57" ht="17" customHeight="1" x14ac:dyDescent="0.2">
      <c r="D45" s="16" t="s">
        <v>10</v>
      </c>
      <c r="E45" s="35">
        <v>0</v>
      </c>
      <c r="F45" s="4">
        <v>9</v>
      </c>
      <c r="G45" s="2">
        <f ca="1"/>
        <v>1</v>
      </c>
      <c r="H45" s="2">
        <f ca="1"/>
        <v>4</v>
      </c>
      <c r="I45" s="2">
        <f ca="1"/>
        <v>5</v>
      </c>
      <c r="J45" s="2">
        <f ca="1"/>
        <v>5</v>
      </c>
      <c r="K45" s="2">
        <f ca="1"/>
        <v>10</v>
      </c>
      <c r="L45" s="2">
        <f ca="1"/>
        <v>112</v>
      </c>
      <c r="M45" s="2">
        <f ca="1"/>
        <v>106</v>
      </c>
      <c r="N45" s="2">
        <f ca="1"/>
        <v>64</v>
      </c>
      <c r="O45" s="2">
        <f ca="1"/>
        <v>71</v>
      </c>
      <c r="P45" s="2">
        <f ca="1"/>
        <v>87</v>
      </c>
      <c r="Q45" s="2">
        <f ca="1"/>
        <v>91</v>
      </c>
      <c r="R45" s="2">
        <f ca="1"/>
        <v>80</v>
      </c>
      <c r="S45" s="2">
        <f ca="1"/>
        <v>72</v>
      </c>
      <c r="T45" s="2">
        <f ca="1"/>
        <v>103</v>
      </c>
      <c r="U45" s="2">
        <f ca="1"/>
        <v>147</v>
      </c>
      <c r="V45" s="2">
        <f ca="1"/>
        <v>18</v>
      </c>
      <c r="W45" s="2">
        <f ca="1"/>
        <v>3</v>
      </c>
      <c r="X45" s="2">
        <f ca="1"/>
        <v>5</v>
      </c>
      <c r="Y45" s="2">
        <f ca="1"/>
        <v>4</v>
      </c>
      <c r="Z45" s="2">
        <f ca="1"/>
        <v>1</v>
      </c>
      <c r="AE45" s="21">
        <f ca="1"/>
        <v>172</v>
      </c>
      <c r="AF45" s="21">
        <f ca="1"/>
        <v>172</v>
      </c>
      <c r="AG45" s="21">
        <f ca="1"/>
        <v>117</v>
      </c>
      <c r="AH45" s="36"/>
      <c r="AI45" s="21">
        <f ca="1"/>
        <v>0.35</v>
      </c>
      <c r="AJ45" s="21">
        <f ca="1"/>
        <v>0.35</v>
      </c>
      <c r="AK45" s="21">
        <f ca="1"/>
        <v>-0.08</v>
      </c>
      <c r="AL45" s="36"/>
      <c r="AM45" s="21">
        <f ca="1"/>
        <v>-0.44</v>
      </c>
    </row>
    <row r="46" spans="1:57" ht="17" customHeight="1" x14ac:dyDescent="0.2">
      <c r="F46" s="4">
        <v>10</v>
      </c>
      <c r="G46" s="2">
        <f ca="1"/>
        <v>1</v>
      </c>
      <c r="H46" s="2">
        <f ca="1"/>
        <v>5</v>
      </c>
      <c r="I46" s="2">
        <f ca="1"/>
        <v>5</v>
      </c>
      <c r="J46" s="2">
        <f ca="1"/>
        <v>2</v>
      </c>
      <c r="K46" s="2">
        <f ca="1"/>
        <v>55</v>
      </c>
      <c r="L46" s="2">
        <f ca="1"/>
        <v>134</v>
      </c>
      <c r="M46" s="2">
        <f ca="1"/>
        <v>71</v>
      </c>
      <c r="N46" s="2">
        <f ca="1"/>
        <v>79</v>
      </c>
      <c r="O46" s="2">
        <f ca="1"/>
        <v>128</v>
      </c>
      <c r="P46" s="2">
        <f ca="1"/>
        <v>172</v>
      </c>
      <c r="Q46" s="2">
        <f ca="1"/>
        <v>120</v>
      </c>
      <c r="R46" s="2">
        <f ca="1"/>
        <v>82</v>
      </c>
      <c r="S46" s="2">
        <f ca="1"/>
        <v>81</v>
      </c>
      <c r="T46" s="2">
        <f ca="1"/>
        <v>68</v>
      </c>
      <c r="U46" s="2">
        <f ca="1"/>
        <v>141</v>
      </c>
      <c r="V46" s="2">
        <f ca="1"/>
        <v>94</v>
      </c>
      <c r="W46" s="2">
        <f ca="1"/>
        <v>1</v>
      </c>
      <c r="X46" s="2">
        <f ca="1"/>
        <v>4</v>
      </c>
      <c r="Y46" s="2">
        <f ca="1"/>
        <v>4</v>
      </c>
      <c r="Z46" s="2">
        <f ca="1"/>
        <v>1</v>
      </c>
      <c r="AE46" s="36"/>
      <c r="AF46" s="36"/>
      <c r="AG46" s="36"/>
      <c r="AH46" s="36"/>
      <c r="AI46" s="36"/>
      <c r="AJ46" s="36"/>
      <c r="AK46" s="36"/>
      <c r="AL46" s="36"/>
      <c r="AM46" s="21">
        <f ca="1"/>
        <v>-0.31</v>
      </c>
    </row>
    <row r="47" spans="1:57" ht="17" customHeight="1" x14ac:dyDescent="0.2">
      <c r="F47" s="4">
        <v>11</v>
      </c>
      <c r="G47" s="2">
        <f ca="1"/>
        <v>1</v>
      </c>
      <c r="H47" s="2">
        <f ca="1"/>
        <v>5</v>
      </c>
      <c r="I47" s="2">
        <f ca="1"/>
        <v>4</v>
      </c>
      <c r="J47" s="2">
        <f ca="1"/>
        <v>7</v>
      </c>
      <c r="K47" s="2">
        <f ca="1"/>
        <v>115</v>
      </c>
      <c r="L47" s="2">
        <f ca="1"/>
        <v>101</v>
      </c>
      <c r="M47" s="2">
        <f ca="1"/>
        <v>66</v>
      </c>
      <c r="N47" s="2">
        <f ca="1"/>
        <v>113</v>
      </c>
      <c r="O47" s="2">
        <f ca="1"/>
        <v>163</v>
      </c>
      <c r="P47" s="2">
        <f ca="1"/>
        <v>165</v>
      </c>
      <c r="Q47" s="2">
        <f ca="1"/>
        <v>147</v>
      </c>
      <c r="R47" s="2">
        <f ca="1"/>
        <v>85</v>
      </c>
      <c r="S47" s="2">
        <f ca="1"/>
        <v>93</v>
      </c>
      <c r="T47" s="2">
        <f ca="1"/>
        <v>79</v>
      </c>
      <c r="U47" s="2">
        <f ca="1"/>
        <v>87</v>
      </c>
      <c r="V47" s="2">
        <f ca="1"/>
        <v>158</v>
      </c>
      <c r="W47" s="2">
        <f ca="1"/>
        <v>31</v>
      </c>
      <c r="X47" s="2">
        <f ca="1"/>
        <v>2</v>
      </c>
      <c r="Y47" s="2">
        <f ca="1"/>
        <v>4</v>
      </c>
      <c r="Z47" s="2">
        <f ca="1"/>
        <v>1</v>
      </c>
      <c r="AE47" s="36"/>
      <c r="AF47" s="36"/>
      <c r="AG47" s="36"/>
      <c r="AH47" s="36"/>
      <c r="AI47" s="36"/>
      <c r="AJ47" s="36"/>
      <c r="AK47" s="36"/>
      <c r="AL47" s="36"/>
      <c r="AM47" s="21">
        <f ca="1"/>
        <v>-0.22</v>
      </c>
    </row>
    <row r="48" spans="1:57" ht="17" customHeight="1" x14ac:dyDescent="0.2">
      <c r="F48" s="4">
        <v>12</v>
      </c>
      <c r="G48" s="2">
        <f ca="1"/>
        <v>1</v>
      </c>
      <c r="H48" s="2">
        <f ca="1"/>
        <v>5</v>
      </c>
      <c r="I48" s="2">
        <f ca="1"/>
        <v>2</v>
      </c>
      <c r="J48" s="2">
        <f ca="1"/>
        <v>31</v>
      </c>
      <c r="K48" s="2">
        <f ca="1"/>
        <v>141</v>
      </c>
      <c r="L48" s="2">
        <f ca="1"/>
        <v>79</v>
      </c>
      <c r="M48" s="2">
        <f ca="1"/>
        <v>73</v>
      </c>
      <c r="N48" s="2">
        <f ca="1"/>
        <v>140</v>
      </c>
      <c r="O48" s="2">
        <f ca="1"/>
        <v>161</v>
      </c>
      <c r="P48" s="2">
        <f ca="1"/>
        <v>161</v>
      </c>
      <c r="Q48" s="2">
        <f ca="1"/>
        <v>141</v>
      </c>
      <c r="R48" s="2">
        <f ca="1"/>
        <v>87</v>
      </c>
      <c r="S48" s="2">
        <f ca="1"/>
        <v>97</v>
      </c>
      <c r="T48" s="2">
        <f ca="1"/>
        <v>90</v>
      </c>
      <c r="U48" s="2">
        <f ca="1"/>
        <v>76</v>
      </c>
      <c r="V48" s="2">
        <f ca="1"/>
        <v>138</v>
      </c>
      <c r="W48" s="2">
        <f ca="1"/>
        <v>88</v>
      </c>
      <c r="X48" s="2">
        <f ca="1"/>
        <v>0</v>
      </c>
      <c r="Y48" s="2">
        <f ca="1"/>
        <v>5</v>
      </c>
      <c r="Z48" s="2">
        <f ca="1"/>
        <v>2</v>
      </c>
      <c r="AE48" s="36"/>
      <c r="AF48" s="36"/>
      <c r="AG48" s="36"/>
      <c r="AH48" s="36"/>
      <c r="AI48" s="36"/>
      <c r="AJ48" s="36"/>
      <c r="AK48" s="36"/>
      <c r="AL48" s="36"/>
      <c r="AM48" s="21">
        <f ca="1"/>
        <v>0.22</v>
      </c>
    </row>
    <row r="49" spans="1:57" ht="17" customHeight="1" x14ac:dyDescent="0.2">
      <c r="F49" s="4">
        <v>13</v>
      </c>
      <c r="G49" s="2">
        <f ca="1"/>
        <v>1</v>
      </c>
      <c r="H49" s="2">
        <f ca="1"/>
        <v>5</v>
      </c>
      <c r="I49" s="2">
        <f ca="1"/>
        <v>0</v>
      </c>
      <c r="J49" s="2">
        <f ca="1"/>
        <v>56</v>
      </c>
      <c r="K49" s="2">
        <f ca="1"/>
        <v>144</v>
      </c>
      <c r="L49" s="2">
        <f ca="1"/>
        <v>81</v>
      </c>
      <c r="M49" s="2">
        <f ca="1"/>
        <v>80</v>
      </c>
      <c r="N49" s="2">
        <f ca="1"/>
        <v>111</v>
      </c>
      <c r="O49" s="2">
        <f ca="1"/>
        <v>189</v>
      </c>
      <c r="P49" s="2">
        <f ca="1"/>
        <v>181</v>
      </c>
      <c r="Q49" s="2">
        <f ca="1"/>
        <v>127</v>
      </c>
      <c r="R49" s="2">
        <f ca="1"/>
        <v>92</v>
      </c>
      <c r="S49" s="2">
        <f ca="1"/>
        <v>99</v>
      </c>
      <c r="T49" s="2">
        <f ca="1"/>
        <v>95</v>
      </c>
      <c r="U49" s="2">
        <f ca="1"/>
        <v>85</v>
      </c>
      <c r="V49" s="2">
        <f ca="1"/>
        <v>116</v>
      </c>
      <c r="W49" s="2">
        <f ca="1"/>
        <v>121</v>
      </c>
      <c r="X49" s="2">
        <f ca="1"/>
        <v>3</v>
      </c>
      <c r="Y49" s="2">
        <f ca="1"/>
        <v>5</v>
      </c>
      <c r="Z49" s="2">
        <f ca="1"/>
        <v>2</v>
      </c>
      <c r="AE49" s="36"/>
      <c r="AF49" s="36"/>
      <c r="AG49" s="36"/>
      <c r="AH49" s="36"/>
      <c r="AI49" s="36"/>
      <c r="AJ49" s="36"/>
      <c r="AK49" s="36"/>
      <c r="AL49" s="36"/>
      <c r="AM49" s="21">
        <f ca="1"/>
        <v>0.35</v>
      </c>
    </row>
    <row r="50" spans="1:57" ht="17" customHeight="1" x14ac:dyDescent="0.2">
      <c r="F50" s="4">
        <v>14</v>
      </c>
      <c r="G50" s="2">
        <f ca="1"/>
        <v>1</v>
      </c>
      <c r="H50" s="2">
        <f ca="1"/>
        <v>5</v>
      </c>
      <c r="I50" s="2">
        <f ca="1"/>
        <v>1</v>
      </c>
      <c r="J50" s="2">
        <f ca="1"/>
        <v>52</v>
      </c>
      <c r="K50" s="2">
        <f ca="1"/>
        <v>146</v>
      </c>
      <c r="L50" s="2">
        <f ca="1"/>
        <v>83</v>
      </c>
      <c r="M50" s="2">
        <f ca="1"/>
        <v>83</v>
      </c>
      <c r="N50" s="2">
        <f ca="1"/>
        <v>87</v>
      </c>
      <c r="O50" s="2">
        <f ca="1"/>
        <v>133</v>
      </c>
      <c r="P50" s="2">
        <f ca="1"/>
        <v>108</v>
      </c>
      <c r="Q50" s="2">
        <f ca="1"/>
        <v>92</v>
      </c>
      <c r="R50" s="2">
        <f ca="1"/>
        <v>100</v>
      </c>
      <c r="S50" s="2">
        <f ca="1"/>
        <v>97</v>
      </c>
      <c r="T50" s="2">
        <f ca="1"/>
        <v>96</v>
      </c>
      <c r="U50" s="2">
        <f ca="1"/>
        <v>87</v>
      </c>
      <c r="V50" s="2">
        <f ca="1"/>
        <v>116</v>
      </c>
      <c r="W50" s="2">
        <f ca="1"/>
        <v>131</v>
      </c>
      <c r="X50" s="2">
        <f ca="1"/>
        <v>4</v>
      </c>
      <c r="Y50" s="2">
        <f ca="1"/>
        <v>4</v>
      </c>
      <c r="Z50" s="2">
        <f ca="1"/>
        <v>2</v>
      </c>
      <c r="AE50" s="36"/>
      <c r="AF50" s="36"/>
      <c r="AG50" s="36"/>
      <c r="AH50" s="36"/>
      <c r="AI50" s="36"/>
      <c r="AJ50" s="36"/>
      <c r="AK50" s="36"/>
      <c r="AL50" s="36"/>
      <c r="AM50" s="21">
        <f ca="1"/>
        <v>0.35</v>
      </c>
    </row>
    <row r="51" spans="1:57" ht="17" customHeight="1" x14ac:dyDescent="0.2">
      <c r="F51" s="4">
        <v>15</v>
      </c>
      <c r="G51" s="2">
        <f ca="1"/>
        <v>1</v>
      </c>
      <c r="H51" s="2">
        <f ca="1"/>
        <v>5</v>
      </c>
      <c r="I51" s="2">
        <f ca="1"/>
        <v>3</v>
      </c>
      <c r="J51" s="2">
        <f ca="1"/>
        <v>20</v>
      </c>
      <c r="K51" s="2">
        <f ca="1"/>
        <v>145</v>
      </c>
      <c r="L51" s="2">
        <f ca="1"/>
        <v>108</v>
      </c>
      <c r="M51" s="2">
        <f ca="1"/>
        <v>85</v>
      </c>
      <c r="N51" s="2">
        <f ca="1"/>
        <v>86</v>
      </c>
      <c r="O51" s="2">
        <f ca="1"/>
        <v>88</v>
      </c>
      <c r="P51" s="2">
        <f ca="1"/>
        <v>88</v>
      </c>
      <c r="Q51" s="2">
        <f ca="1"/>
        <v>94</v>
      </c>
      <c r="R51" s="2">
        <f ca="1"/>
        <v>98</v>
      </c>
      <c r="S51" s="2">
        <f ca="1"/>
        <v>98</v>
      </c>
      <c r="T51" s="2">
        <f ca="1"/>
        <v>88</v>
      </c>
      <c r="U51" s="2">
        <f ca="1"/>
        <v>76</v>
      </c>
      <c r="V51" s="2">
        <f ca="1"/>
        <v>140</v>
      </c>
      <c r="W51" s="2">
        <f ca="1"/>
        <v>103</v>
      </c>
      <c r="X51" s="2">
        <f ca="1"/>
        <v>1</v>
      </c>
      <c r="Y51" s="2">
        <f ca="1"/>
        <v>4</v>
      </c>
      <c r="Z51" s="2">
        <f ca="1"/>
        <v>1</v>
      </c>
      <c r="AE51" s="36"/>
      <c r="AF51" s="36"/>
      <c r="AG51" s="36"/>
      <c r="AH51" s="36"/>
      <c r="AI51" s="36"/>
      <c r="AJ51" s="36"/>
      <c r="AK51" s="36"/>
      <c r="AL51" s="36"/>
      <c r="AM51" s="21">
        <f ca="1"/>
        <v>-0.08</v>
      </c>
      <c r="AU51" s="2" t="s">
        <v>13</v>
      </c>
    </row>
    <row r="52" spans="1:57" ht="17" customHeight="1" x14ac:dyDescent="0.2">
      <c r="F52" s="4">
        <v>16</v>
      </c>
      <c r="G52" s="2">
        <f ca="1"/>
        <v>1</v>
      </c>
      <c r="H52" s="2">
        <f ca="1"/>
        <v>4</v>
      </c>
      <c r="I52" s="2">
        <f ca="1"/>
        <v>5</v>
      </c>
      <c r="J52" s="2">
        <f ca="1"/>
        <v>1</v>
      </c>
      <c r="K52" s="2">
        <f ca="1"/>
        <v>88</v>
      </c>
      <c r="L52" s="2">
        <f ca="1"/>
        <v>154</v>
      </c>
      <c r="M52" s="2">
        <f ca="1"/>
        <v>77</v>
      </c>
      <c r="N52" s="2">
        <f ca="1"/>
        <v>87</v>
      </c>
      <c r="O52" s="2">
        <f ca="1"/>
        <v>93</v>
      </c>
      <c r="P52" s="2">
        <f ca="1"/>
        <v>96</v>
      </c>
      <c r="Q52" s="2">
        <f ca="1"/>
        <v>100</v>
      </c>
      <c r="R52" s="2">
        <f ca="1"/>
        <v>93</v>
      </c>
      <c r="S52" s="2">
        <f ca="1"/>
        <v>95</v>
      </c>
      <c r="T52" s="2">
        <f ca="1"/>
        <v>77</v>
      </c>
      <c r="U52" s="2">
        <f ca="1"/>
        <v>85</v>
      </c>
      <c r="V52" s="2">
        <f ca="1"/>
        <v>173</v>
      </c>
      <c r="W52" s="2">
        <f ca="1"/>
        <v>52</v>
      </c>
      <c r="X52" s="2">
        <f ca="1"/>
        <v>0</v>
      </c>
      <c r="Y52" s="2">
        <f ca="1"/>
        <v>4</v>
      </c>
      <c r="Z52" s="2">
        <f ca="1"/>
        <v>1</v>
      </c>
      <c r="AM52" s="20">
        <v>1</v>
      </c>
      <c r="AU52" s="21" cm="1">
        <f t="array" aca="1" ref="AU52:BD52" ca="1">TRANSPOSE(AM43:AM52)</f>
        <v>-0.32</v>
      </c>
      <c r="AV52" s="21">
        <f ca="1"/>
        <v>-0.36</v>
      </c>
      <c r="AW52" s="21">
        <f ca="1"/>
        <v>-0.44</v>
      </c>
      <c r="AX52" s="21">
        <f ca="1"/>
        <v>-0.31</v>
      </c>
      <c r="AY52" s="21">
        <f ca="1"/>
        <v>-0.22</v>
      </c>
      <c r="AZ52" s="21">
        <f ca="1"/>
        <v>0.22</v>
      </c>
      <c r="BA52" s="21">
        <f ca="1"/>
        <v>0.35</v>
      </c>
      <c r="BB52" s="21">
        <f ca="1"/>
        <v>0.35</v>
      </c>
      <c r="BC52" s="102">
        <f ca="1"/>
        <v>-0.08</v>
      </c>
      <c r="BD52" s="20">
        <f ca="1"/>
        <v>1</v>
      </c>
    </row>
    <row r="53" spans="1:57" ht="17" customHeight="1" x14ac:dyDescent="0.2">
      <c r="F53" s="4">
        <v>17</v>
      </c>
      <c r="G53" s="2">
        <f ca="1"/>
        <v>1</v>
      </c>
      <c r="H53" s="2">
        <f ca="1"/>
        <v>4</v>
      </c>
      <c r="I53" s="2">
        <f ca="1"/>
        <v>4</v>
      </c>
      <c r="J53" s="2">
        <f ca="1"/>
        <v>3</v>
      </c>
      <c r="K53" s="2">
        <f ca="1"/>
        <v>15</v>
      </c>
      <c r="L53" s="2">
        <f ca="1"/>
        <v>139</v>
      </c>
      <c r="M53" s="2">
        <f ca="1"/>
        <v>125</v>
      </c>
      <c r="N53" s="2">
        <f ca="1"/>
        <v>73</v>
      </c>
      <c r="O53" s="2">
        <f ca="1"/>
        <v>87</v>
      </c>
      <c r="P53" s="2">
        <f ca="1"/>
        <v>94</v>
      </c>
      <c r="Q53" s="2">
        <f ca="1"/>
        <v>93</v>
      </c>
      <c r="R53" s="2">
        <f ca="1"/>
        <v>87</v>
      </c>
      <c r="S53" s="2">
        <f ca="1"/>
        <v>81</v>
      </c>
      <c r="T53" s="2">
        <f ca="1"/>
        <v>72</v>
      </c>
      <c r="U53" s="2">
        <f ca="1"/>
        <v>159</v>
      </c>
      <c r="V53" s="2">
        <f ca="1"/>
        <v>136</v>
      </c>
      <c r="W53" s="2">
        <f ca="1"/>
        <v>8</v>
      </c>
      <c r="X53" s="2">
        <f ca="1"/>
        <v>3</v>
      </c>
      <c r="Y53" s="2">
        <f ca="1"/>
        <v>5</v>
      </c>
      <c r="Z53" s="2">
        <f ca="1"/>
        <v>1</v>
      </c>
    </row>
    <row r="54" spans="1:57" ht="17" customHeight="1" x14ac:dyDescent="0.2">
      <c r="F54" s="4">
        <v>18</v>
      </c>
      <c r="G54" s="2">
        <f ca="1"/>
        <v>1</v>
      </c>
      <c r="H54" s="2">
        <f ca="1"/>
        <v>4</v>
      </c>
      <c r="I54" s="2">
        <f ca="1"/>
        <v>5</v>
      </c>
      <c r="J54" s="2">
        <f ca="1"/>
        <v>5</v>
      </c>
      <c r="K54" s="2">
        <f ca="1"/>
        <v>2</v>
      </c>
      <c r="L54" s="2">
        <f ca="1"/>
        <v>42</v>
      </c>
      <c r="M54" s="2">
        <f ca="1"/>
        <v>154</v>
      </c>
      <c r="N54" s="2">
        <f ca="1"/>
        <v>137</v>
      </c>
      <c r="O54" s="2">
        <f ca="1"/>
        <v>92</v>
      </c>
      <c r="P54" s="2">
        <f ca="1"/>
        <v>94</v>
      </c>
      <c r="Q54" s="2">
        <f ca="1"/>
        <v>95</v>
      </c>
      <c r="R54" s="2">
        <f ca="1"/>
        <v>88</v>
      </c>
      <c r="S54" s="2">
        <f ca="1"/>
        <v>100</v>
      </c>
      <c r="T54" s="2">
        <f ca="1"/>
        <v>156</v>
      </c>
      <c r="U54" s="2">
        <f ca="1"/>
        <v>157</v>
      </c>
      <c r="V54" s="2">
        <f ca="1"/>
        <v>37</v>
      </c>
      <c r="W54" s="2">
        <f ca="1"/>
        <v>1</v>
      </c>
      <c r="X54" s="2">
        <f ca="1"/>
        <v>5</v>
      </c>
      <c r="Y54" s="2">
        <f ca="1"/>
        <v>5</v>
      </c>
      <c r="Z54" s="2">
        <f ca="1"/>
        <v>1</v>
      </c>
      <c r="AB54" s="2" t="s">
        <v>11</v>
      </c>
      <c r="AK54" s="2" t="s">
        <v>12</v>
      </c>
      <c r="AM54" s="2" t="s">
        <v>86</v>
      </c>
      <c r="AO54" s="2" t="s">
        <v>63</v>
      </c>
      <c r="AP54" s="2" t="s">
        <v>92</v>
      </c>
      <c r="AQ54" s="2" t="s">
        <v>26</v>
      </c>
      <c r="AS54" s="136" t="s">
        <v>94</v>
      </c>
      <c r="AU54" s="136" t="s">
        <v>90</v>
      </c>
      <c r="BD54" s="2" t="s">
        <v>91</v>
      </c>
    </row>
    <row r="55" spans="1:57" ht="17" customHeight="1" x14ac:dyDescent="0.2">
      <c r="F55" s="4">
        <v>19</v>
      </c>
      <c r="G55" s="2">
        <f ca="1"/>
        <v>1</v>
      </c>
      <c r="H55" s="2">
        <f ca="1"/>
        <v>4</v>
      </c>
      <c r="I55" s="2">
        <f ca="1"/>
        <v>4</v>
      </c>
      <c r="J55" s="2">
        <f ca="1"/>
        <v>4</v>
      </c>
      <c r="K55" s="2">
        <f ca="1"/>
        <v>4</v>
      </c>
      <c r="L55" s="2">
        <f ca="1"/>
        <v>0</v>
      </c>
      <c r="M55" s="2">
        <f ca="1"/>
        <v>35</v>
      </c>
      <c r="N55" s="2">
        <f ca="1"/>
        <v>124</v>
      </c>
      <c r="O55" s="2">
        <f ca="1"/>
        <v>163</v>
      </c>
      <c r="P55" s="2">
        <f ca="1"/>
        <v>170</v>
      </c>
      <c r="Q55" s="2">
        <f ca="1"/>
        <v>160</v>
      </c>
      <c r="R55" s="2">
        <f ca="1"/>
        <v>172</v>
      </c>
      <c r="S55" s="2">
        <f ca="1"/>
        <v>172</v>
      </c>
      <c r="T55" s="2">
        <f ca="1"/>
        <v>117</v>
      </c>
      <c r="U55" s="2">
        <f ca="1"/>
        <v>31</v>
      </c>
      <c r="V55" s="2">
        <f ca="1"/>
        <v>0</v>
      </c>
      <c r="W55" s="2">
        <f ca="1"/>
        <v>4</v>
      </c>
      <c r="X55" s="2">
        <f ca="1"/>
        <v>4</v>
      </c>
      <c r="Y55" s="2">
        <f ca="1"/>
        <v>4</v>
      </c>
      <c r="Z55" s="2">
        <f ca="1"/>
        <v>1</v>
      </c>
      <c r="AB55" s="20" cm="1">
        <f t="array" aca="1" ref="AB55:AK58" ca="1">ROUND(_xlfn.ANCHORARRAY(AB27)+_xlfn.ANCHORARRAY(AU27),2)</f>
        <v>0.63</v>
      </c>
      <c r="AC55" s="20">
        <f ca="1"/>
        <v>0.48</v>
      </c>
      <c r="AD55" s="20">
        <f ca="1"/>
        <v>-0.15</v>
      </c>
      <c r="AE55" s="20">
        <f ca="1"/>
        <v>0.24</v>
      </c>
      <c r="AF55" s="20">
        <f ca="1"/>
        <v>0.53</v>
      </c>
      <c r="AG55" s="20">
        <f ca="1"/>
        <v>0.12</v>
      </c>
      <c r="AH55" s="20">
        <f ca="1"/>
        <v>-0.82</v>
      </c>
      <c r="AI55" s="20">
        <f ca="1"/>
        <v>0.17</v>
      </c>
      <c r="AJ55" s="20">
        <f ca="1"/>
        <v>0.14000000000000001</v>
      </c>
      <c r="AK55" s="20">
        <f ca="1"/>
        <v>-0.55000000000000004</v>
      </c>
      <c r="AM55" s="20" cm="1">
        <f t="array" aca="1" ref="AM55:AM58" ca="1">ROUND(MMULT(_xlfn.ANCHORARRAY(AB55),$AM$43:$AM$52),2)</f>
        <v>-1.26</v>
      </c>
      <c r="AO55" s="20" cm="1">
        <f t="array" aca="1" ref="AO55:AO58" ca="1">EXP(_xlfn.ANCHORARRAY(AM55))/SUM(EXP(_xlfn.ANCHORARRAY(AM55)))</f>
        <v>5.0760629017678215E-2</v>
      </c>
      <c r="AP55" s="20" cm="1">
        <f t="array" ref="AP55:AP58">_xlfn.ANCHORARRAY(E42)</f>
        <v>0</v>
      </c>
      <c r="AQ55" s="85" cm="1">
        <f t="array" aca="1" ref="AQ55" ca="1">-SUMPRODUCT(_xlfn.ANCHORARRAY(AP55), LN(_xlfn.ANCHORARRAY(AO55)))</f>
        <v>1.0206342442174938</v>
      </c>
      <c r="AS55" s="20" cm="1">
        <f t="array" aca="1" ref="AS55:AS58" ca="1">ROUND(_xlfn.ANCHORARRAY(AO55)-AP55:AP58,2)</f>
        <v>0.05</v>
      </c>
      <c r="AU55" s="20" cm="1">
        <f t="array" aca="1" ref="AU55:BD58" ca="1">ROUND(-$AV$21*MMULT(_xlfn.ANCHORARRAY(AS55),_xlfn.ANCHORARRAY(AU52)),2)</f>
        <v>0</v>
      </c>
      <c r="AV55" s="20">
        <f ca="1"/>
        <v>0</v>
      </c>
      <c r="AW55" s="20">
        <f ca="1"/>
        <v>0.01</v>
      </c>
      <c r="AX55" s="20">
        <f ca="1"/>
        <v>0</v>
      </c>
      <c r="AY55" s="20">
        <f ca="1"/>
        <v>0</v>
      </c>
      <c r="AZ55" s="20">
        <f ca="1"/>
        <v>0</v>
      </c>
      <c r="BA55" s="20">
        <f ca="1"/>
        <v>0</v>
      </c>
      <c r="BB55" s="20">
        <f ca="1"/>
        <v>0</v>
      </c>
      <c r="BC55" s="20">
        <f ca="1"/>
        <v>0</v>
      </c>
      <c r="BD55" s="20">
        <f ca="1"/>
        <v>-0.01</v>
      </c>
    </row>
    <row r="56" spans="1:57" ht="17" customHeight="1" x14ac:dyDescent="0.2">
      <c r="F56" s="4">
        <v>20</v>
      </c>
      <c r="G56" s="2">
        <f ca="1"/>
        <v>1</v>
      </c>
      <c r="H56" s="2">
        <f ca="1"/>
        <v>4</v>
      </c>
      <c r="I56" s="2">
        <f ca="1"/>
        <v>3</v>
      </c>
      <c r="J56" s="2">
        <f ca="1"/>
        <v>3</v>
      </c>
      <c r="K56" s="2">
        <f ca="1"/>
        <v>3</v>
      </c>
      <c r="L56" s="2">
        <f ca="1"/>
        <v>3</v>
      </c>
      <c r="M56" s="2">
        <f ca="1"/>
        <v>0</v>
      </c>
      <c r="N56" s="2">
        <f ca="1"/>
        <v>7</v>
      </c>
      <c r="O56" s="2">
        <f ca="1"/>
        <v>39</v>
      </c>
      <c r="P56" s="2">
        <f ca="1"/>
        <v>73</v>
      </c>
      <c r="Q56" s="2">
        <f ca="1"/>
        <v>88</v>
      </c>
      <c r="R56" s="2">
        <f ca="1"/>
        <v>77</v>
      </c>
      <c r="S56" s="2">
        <f ca="1"/>
        <v>41</v>
      </c>
      <c r="T56" s="2">
        <f ca="1"/>
        <v>7</v>
      </c>
      <c r="U56" s="2">
        <f ca="1"/>
        <v>0</v>
      </c>
      <c r="V56" s="2">
        <f ca="1"/>
        <v>3</v>
      </c>
      <c r="W56" s="2">
        <f ca="1"/>
        <v>3</v>
      </c>
      <c r="X56" s="2">
        <f ca="1"/>
        <v>3</v>
      </c>
      <c r="Y56" s="2">
        <f ca="1"/>
        <v>4</v>
      </c>
      <c r="Z56" s="2">
        <f ca="1"/>
        <v>1</v>
      </c>
      <c r="AB56" s="20">
        <f ca="1"/>
        <v>0.63</v>
      </c>
      <c r="AC56" s="20">
        <f ca="1"/>
        <v>-0.88</v>
      </c>
      <c r="AD56" s="20">
        <f ca="1"/>
        <v>-0.71</v>
      </c>
      <c r="AE56" s="20">
        <f ca="1"/>
        <v>0.01</v>
      </c>
      <c r="AF56" s="20">
        <f ca="1"/>
        <v>-0.19</v>
      </c>
      <c r="AG56" s="20">
        <f ca="1"/>
        <v>-0.77</v>
      </c>
      <c r="AH56" s="20">
        <f ca="1"/>
        <v>-0.72</v>
      </c>
      <c r="AI56" s="20">
        <f ca="1"/>
        <v>-0.85</v>
      </c>
      <c r="AJ56" s="20">
        <f ca="1"/>
        <v>-0.54</v>
      </c>
      <c r="AK56" s="20">
        <f ca="1"/>
        <v>0.91</v>
      </c>
      <c r="AM56" s="20">
        <f ca="1"/>
        <v>0.7</v>
      </c>
      <c r="AO56" s="20">
        <f ca="1"/>
        <v>0.36036630742957804</v>
      </c>
      <c r="AP56" s="20">
        <v>1</v>
      </c>
      <c r="AS56" s="20">
        <f ca="1"/>
        <v>-0.64</v>
      </c>
      <c r="AU56" s="20">
        <f ca="1"/>
        <v>-0.05</v>
      </c>
      <c r="AV56" s="20">
        <f ca="1"/>
        <v>-0.06</v>
      </c>
      <c r="AW56" s="20">
        <f ca="1"/>
        <v>-7.0000000000000007E-2</v>
      </c>
      <c r="AX56" s="20">
        <f ca="1"/>
        <v>-0.05</v>
      </c>
      <c r="AY56" s="20">
        <f ca="1"/>
        <v>-0.04</v>
      </c>
      <c r="AZ56" s="20">
        <f ca="1"/>
        <v>0.04</v>
      </c>
      <c r="BA56" s="20">
        <f ca="1"/>
        <v>0.06</v>
      </c>
      <c r="BB56" s="20">
        <f ca="1"/>
        <v>0.06</v>
      </c>
      <c r="BC56" s="20">
        <f ca="1"/>
        <v>-0.01</v>
      </c>
      <c r="BD56" s="20">
        <f ca="1"/>
        <v>0.16</v>
      </c>
    </row>
    <row r="57" spans="1:57" ht="17" customHeight="1" x14ac:dyDescent="0.2">
      <c r="F57" s="4">
        <v>21</v>
      </c>
      <c r="G57" s="2">
        <f ca="1"/>
        <v>1</v>
      </c>
      <c r="H57" s="2">
        <f ca="1"/>
        <v>4</v>
      </c>
      <c r="I57" s="2">
        <f ca="1"/>
        <v>4</v>
      </c>
      <c r="J57" s="2">
        <f ca="1"/>
        <v>3</v>
      </c>
      <c r="K57" s="2">
        <f ca="1"/>
        <v>3</v>
      </c>
      <c r="L57" s="2">
        <f ca="1"/>
        <v>3</v>
      </c>
      <c r="M57" s="2">
        <f ca="1"/>
        <v>3</v>
      </c>
      <c r="N57" s="2">
        <f ca="1"/>
        <v>2</v>
      </c>
      <c r="O57" s="2">
        <f ca="1"/>
        <v>0</v>
      </c>
      <c r="P57" s="2">
        <f ca="1"/>
        <v>0</v>
      </c>
      <c r="Q57" s="2">
        <f ca="1"/>
        <v>0</v>
      </c>
      <c r="R57" s="2">
        <f ca="1"/>
        <v>0</v>
      </c>
      <c r="S57" s="2">
        <f ca="1"/>
        <v>0</v>
      </c>
      <c r="T57" s="2">
        <f ca="1"/>
        <v>2</v>
      </c>
      <c r="U57" s="2">
        <f ca="1"/>
        <v>3</v>
      </c>
      <c r="V57" s="2">
        <f ca="1"/>
        <v>3</v>
      </c>
      <c r="W57" s="2">
        <f ca="1"/>
        <v>3</v>
      </c>
      <c r="X57" s="2">
        <f ca="1"/>
        <v>3</v>
      </c>
      <c r="Y57" s="2">
        <f ca="1"/>
        <v>3</v>
      </c>
      <c r="Z57" s="2">
        <f ca="1"/>
        <v>1</v>
      </c>
      <c r="AB57" s="20">
        <f ca="1"/>
        <v>-0.71</v>
      </c>
      <c r="AC57" s="20">
        <f ca="1"/>
        <v>0.06</v>
      </c>
      <c r="AD57" s="20">
        <f ca="1"/>
        <v>7.0000000000000007E-2</v>
      </c>
      <c r="AE57" s="20">
        <f ca="1"/>
        <v>-0.47</v>
      </c>
      <c r="AF57" s="20">
        <f ca="1"/>
        <v>0.45</v>
      </c>
      <c r="AG57" s="20">
        <f ca="1"/>
        <v>-0.17</v>
      </c>
      <c r="AH57" s="20">
        <f ca="1"/>
        <v>-0.71</v>
      </c>
      <c r="AI57" s="20">
        <f ca="1"/>
        <v>0.23</v>
      </c>
      <c r="AJ57" s="20">
        <f ca="1"/>
        <v>-0.02</v>
      </c>
      <c r="AK57" s="20">
        <f ca="1"/>
        <v>0.27</v>
      </c>
      <c r="AM57" s="20">
        <f ca="1"/>
        <v>0.28999999999999998</v>
      </c>
      <c r="AO57" s="20">
        <f ca="1"/>
        <v>0.23915719006634123</v>
      </c>
      <c r="AP57" s="20">
        <v>0</v>
      </c>
      <c r="AS57" s="20">
        <f ca="1"/>
        <v>0.24</v>
      </c>
      <c r="AU57" s="20">
        <f ca="1"/>
        <v>0.02</v>
      </c>
      <c r="AV57" s="20">
        <f ca="1"/>
        <v>0.02</v>
      </c>
      <c r="AW57" s="20">
        <f ca="1"/>
        <v>0.03</v>
      </c>
      <c r="AX57" s="20">
        <f ca="1"/>
        <v>0.02</v>
      </c>
      <c r="AY57" s="20">
        <f ca="1"/>
        <v>0.01</v>
      </c>
      <c r="AZ57" s="20">
        <f ca="1"/>
        <v>-0.01</v>
      </c>
      <c r="BA57" s="20">
        <f ca="1"/>
        <v>-0.02</v>
      </c>
      <c r="BB57" s="20">
        <f ca="1"/>
        <v>-0.02</v>
      </c>
      <c r="BC57" s="20">
        <f ca="1"/>
        <v>0</v>
      </c>
      <c r="BD57" s="20">
        <f ca="1"/>
        <v>-0.06</v>
      </c>
    </row>
    <row r="58" spans="1:57" ht="17" customHeight="1" x14ac:dyDescent="0.2">
      <c r="F58" s="4">
        <v>22</v>
      </c>
      <c r="G58" s="2">
        <f ca="1"/>
        <v>0</v>
      </c>
      <c r="H58" s="2">
        <f ca="1"/>
        <v>4</v>
      </c>
      <c r="I58" s="2">
        <f ca="1"/>
        <v>4</v>
      </c>
      <c r="J58" s="2">
        <f ca="1"/>
        <v>3</v>
      </c>
      <c r="K58" s="2">
        <f ca="1"/>
        <v>3</v>
      </c>
      <c r="L58" s="2">
        <f ca="1"/>
        <v>3</v>
      </c>
      <c r="M58" s="2">
        <f ca="1"/>
        <v>3</v>
      </c>
      <c r="N58" s="2">
        <f ca="1"/>
        <v>3</v>
      </c>
      <c r="O58" s="2">
        <f ca="1"/>
        <v>3</v>
      </c>
      <c r="P58" s="2">
        <f ca="1"/>
        <v>3</v>
      </c>
      <c r="Q58" s="2">
        <f ca="1"/>
        <v>3</v>
      </c>
      <c r="R58" s="2">
        <f ca="1"/>
        <v>3</v>
      </c>
      <c r="S58" s="2">
        <f ca="1"/>
        <v>3</v>
      </c>
      <c r="T58" s="2">
        <f ca="1"/>
        <v>3</v>
      </c>
      <c r="U58" s="2">
        <f ca="1"/>
        <v>3</v>
      </c>
      <c r="V58" s="2">
        <f ca="1"/>
        <v>4</v>
      </c>
      <c r="W58" s="2">
        <f ca="1"/>
        <v>3</v>
      </c>
      <c r="X58" s="2">
        <f ca="1"/>
        <v>4</v>
      </c>
      <c r="Y58" s="2">
        <f ca="1"/>
        <v>4</v>
      </c>
      <c r="Z58" s="2">
        <f ca="1"/>
        <v>1</v>
      </c>
      <c r="AB58" s="20">
        <f ca="1"/>
        <v>-0.09</v>
      </c>
      <c r="AC58" s="20">
        <f ca="1"/>
        <v>-0.78</v>
      </c>
      <c r="AD58" s="20">
        <f ca="1"/>
        <v>-0.88</v>
      </c>
      <c r="AE58" s="20">
        <f ca="1"/>
        <v>0.75</v>
      </c>
      <c r="AF58" s="20">
        <f ca="1"/>
        <v>-0.43</v>
      </c>
      <c r="AG58" s="20">
        <f ca="1"/>
        <v>-0.04</v>
      </c>
      <c r="AH58" s="20">
        <f ca="1"/>
        <v>-0.76</v>
      </c>
      <c r="AI58" s="20">
        <f ca="1"/>
        <v>-0.14000000000000001</v>
      </c>
      <c r="AJ58" s="20">
        <f ca="1"/>
        <v>0.11</v>
      </c>
      <c r="AK58" s="20">
        <f ca="1"/>
        <v>0.44</v>
      </c>
      <c r="AM58" s="20">
        <f ca="1"/>
        <v>0.67</v>
      </c>
      <c r="AO58" s="20">
        <f ca="1"/>
        <v>0.3497158734864026</v>
      </c>
      <c r="AP58" s="20">
        <v>0</v>
      </c>
      <c r="AS58" s="20">
        <f ca="1"/>
        <v>0.35</v>
      </c>
      <c r="AU58" s="20">
        <f ca="1"/>
        <v>0.03</v>
      </c>
      <c r="AV58" s="20">
        <f ca="1"/>
        <v>0.03</v>
      </c>
      <c r="AW58" s="20">
        <f ca="1"/>
        <v>0.04</v>
      </c>
      <c r="AX58" s="20">
        <f ca="1"/>
        <v>0.03</v>
      </c>
      <c r="AY58" s="20">
        <f ca="1"/>
        <v>0.02</v>
      </c>
      <c r="AZ58" s="20">
        <f ca="1"/>
        <v>-0.02</v>
      </c>
      <c r="BA58" s="20">
        <f ca="1"/>
        <v>-0.03</v>
      </c>
      <c r="BB58" s="20">
        <f ca="1"/>
        <v>-0.03</v>
      </c>
      <c r="BC58" s="20">
        <f ca="1"/>
        <v>0.01</v>
      </c>
      <c r="BD58" s="20">
        <f ca="1"/>
        <v>-0.09</v>
      </c>
    </row>
    <row r="59" spans="1:57" ht="17" customHeight="1" x14ac:dyDescent="0.2">
      <c r="F59" s="4">
        <v>23</v>
      </c>
      <c r="G59" s="2">
        <f ca="1"/>
        <v>0</v>
      </c>
      <c r="H59" s="2">
        <f ca="1"/>
        <v>3</v>
      </c>
      <c r="I59" s="2">
        <f ca="1"/>
        <v>4</v>
      </c>
      <c r="J59" s="2">
        <f ca="1"/>
        <v>4</v>
      </c>
      <c r="K59" s="2">
        <f ca="1"/>
        <v>4</v>
      </c>
      <c r="L59" s="2">
        <f ca="1"/>
        <v>3</v>
      </c>
      <c r="M59" s="2">
        <f ca="1"/>
        <v>3</v>
      </c>
      <c r="N59" s="2">
        <f ca="1"/>
        <v>3</v>
      </c>
      <c r="O59" s="2">
        <f ca="1"/>
        <v>3</v>
      </c>
      <c r="P59" s="2">
        <f ca="1"/>
        <v>3</v>
      </c>
      <c r="Q59" s="2">
        <f ca="1"/>
        <v>3</v>
      </c>
      <c r="R59" s="2">
        <f ca="1"/>
        <v>3</v>
      </c>
      <c r="S59" s="2">
        <f ca="1"/>
        <v>4</v>
      </c>
      <c r="T59" s="2">
        <f ca="1"/>
        <v>3</v>
      </c>
      <c r="U59" s="2">
        <f ca="1"/>
        <v>3</v>
      </c>
      <c r="V59" s="2">
        <f ca="1"/>
        <v>4</v>
      </c>
      <c r="W59" s="2">
        <f ca="1"/>
        <v>4</v>
      </c>
      <c r="X59" s="2">
        <f ca="1"/>
        <v>4</v>
      </c>
      <c r="Y59" s="2">
        <f ca="1"/>
        <v>3</v>
      </c>
      <c r="Z59" s="2">
        <f ca="1"/>
        <v>0</v>
      </c>
    </row>
    <row r="60" spans="1:57" ht="17" customHeight="1" x14ac:dyDescent="0.2">
      <c r="F60" s="4">
        <v>24</v>
      </c>
      <c r="G60" s="2">
        <f ca="1"/>
        <v>0</v>
      </c>
      <c r="H60" s="2">
        <f ca="1"/>
        <v>1</v>
      </c>
      <c r="I60" s="2">
        <f ca="1"/>
        <v>1</v>
      </c>
      <c r="J60" s="2">
        <f ca="1"/>
        <v>1</v>
      </c>
      <c r="K60" s="2">
        <f ca="1"/>
        <v>2</v>
      </c>
      <c r="L60" s="2">
        <f ca="1"/>
        <v>2</v>
      </c>
      <c r="M60" s="2">
        <f ca="1"/>
        <v>2</v>
      </c>
      <c r="N60" s="2">
        <f ca="1"/>
        <v>2</v>
      </c>
      <c r="O60" s="2">
        <f ca="1"/>
        <v>2</v>
      </c>
      <c r="P60" s="2">
        <f ca="1"/>
        <v>2</v>
      </c>
      <c r="Q60" s="2">
        <f ca="1"/>
        <v>2</v>
      </c>
      <c r="R60" s="2">
        <f ca="1"/>
        <v>2</v>
      </c>
      <c r="S60" s="2">
        <f ca="1"/>
        <v>2</v>
      </c>
      <c r="T60" s="2">
        <f ca="1"/>
        <v>2</v>
      </c>
      <c r="U60" s="2">
        <f ca="1"/>
        <v>2</v>
      </c>
      <c r="V60" s="2">
        <f ca="1"/>
        <v>2</v>
      </c>
      <c r="W60" s="2">
        <f ca="1"/>
        <v>2</v>
      </c>
      <c r="X60" s="2">
        <f ca="1"/>
        <v>1</v>
      </c>
      <c r="Y60" s="2">
        <f ca="1"/>
        <v>1</v>
      </c>
      <c r="Z60" s="2">
        <f ca="1"/>
        <v>0</v>
      </c>
    </row>
    <row r="62" spans="1:57" s="52" customFormat="1" ht="17" customHeight="1" x14ac:dyDescent="0.2">
      <c r="A62" s="103"/>
      <c r="B62" s="103"/>
      <c r="C62" s="109" t="s">
        <v>70</v>
      </c>
      <c r="D62" s="109">
        <v>3</v>
      </c>
      <c r="E62" s="109"/>
      <c r="F62" s="109"/>
      <c r="G62" s="110" t="str" cm="1">
        <f t="array" ref="G62:H62">C62:D62</f>
        <v>Epoch</v>
      </c>
      <c r="H62" s="109">
        <v>3</v>
      </c>
      <c r="I62" s="109"/>
      <c r="J62" s="110"/>
      <c r="K62" s="109" t="str" cm="1">
        <f t="array" ref="K62:L62">_xlfn.ANCHORARRAY(G62)</f>
        <v>Epoch</v>
      </c>
      <c r="L62" s="109">
        <v>3</v>
      </c>
      <c r="M62" s="110"/>
      <c r="N62" s="109"/>
      <c r="O62" s="109" t="str" cm="1">
        <f t="array" ref="O62:P62">_xlfn.ANCHORARRAY(K62)</f>
        <v>Epoch</v>
      </c>
      <c r="P62" s="110">
        <v>3</v>
      </c>
      <c r="Q62" s="109"/>
      <c r="R62" s="109"/>
      <c r="S62" s="110" t="str" cm="1">
        <f t="array" ref="S62:T62">_xlfn.ANCHORARRAY(O62)</f>
        <v>Epoch</v>
      </c>
      <c r="T62" s="109">
        <v>3</v>
      </c>
      <c r="U62" s="109"/>
      <c r="V62" s="110"/>
      <c r="W62" s="109" t="str" cm="1">
        <f t="array" ref="W62:X62">_xlfn.ANCHORARRAY(S62)</f>
        <v>Epoch</v>
      </c>
      <c r="X62" s="109">
        <v>3</v>
      </c>
      <c r="Y62" s="110"/>
      <c r="Z62" s="109"/>
      <c r="AA62" s="109" t="str" cm="1">
        <f t="array" ref="AA62:AB62">_xlfn.ANCHORARRAY(W62)</f>
        <v>Epoch</v>
      </c>
      <c r="AB62" s="110">
        <v>3</v>
      </c>
      <c r="AC62" s="109"/>
      <c r="AD62" s="109"/>
      <c r="AE62" s="110" t="str" cm="1">
        <f t="array" ref="AE62:AF62">_xlfn.ANCHORARRAY(AA62)</f>
        <v>Epoch</v>
      </c>
      <c r="AF62" s="109">
        <v>3</v>
      </c>
      <c r="AG62" s="109"/>
      <c r="AH62" s="110"/>
      <c r="AI62" s="109" t="str" cm="1">
        <f t="array" ref="AI62:AJ62">_xlfn.ANCHORARRAY(AE62)</f>
        <v>Epoch</v>
      </c>
      <c r="AJ62" s="109">
        <v>3</v>
      </c>
      <c r="AK62" s="109"/>
      <c r="AL62" s="109"/>
      <c r="AM62" s="109" t="str" cm="1">
        <f t="array" ref="AM62:AN62">_xlfn.ANCHORARRAY(AI62)</f>
        <v>Epoch</v>
      </c>
      <c r="AN62" s="110">
        <v>3</v>
      </c>
      <c r="AO62" s="109"/>
      <c r="AP62" s="109"/>
      <c r="AQ62" s="110" t="str" cm="1">
        <f t="array" ref="AQ62:AR62">_xlfn.ANCHORARRAY(AM62)</f>
        <v>Epoch</v>
      </c>
      <c r="AR62" s="109">
        <v>3</v>
      </c>
      <c r="AS62" s="109"/>
      <c r="AT62" s="109"/>
      <c r="AU62" s="109" t="str" cm="1">
        <f t="array" ref="AU62:AV62">_xlfn.ANCHORARRAY(AQ62)</f>
        <v>Epoch</v>
      </c>
      <c r="AV62" s="109">
        <v>3</v>
      </c>
      <c r="AW62" s="110"/>
      <c r="AX62" s="109"/>
      <c r="AY62" s="109" t="str" cm="1">
        <f t="array" ref="AY62:AZ62">_xlfn.ANCHORARRAY(AU62)</f>
        <v>Epoch</v>
      </c>
      <c r="AZ62" s="110">
        <v>3</v>
      </c>
      <c r="BA62" s="109"/>
      <c r="BB62" s="109"/>
      <c r="BC62" s="109"/>
      <c r="BD62" s="109"/>
      <c r="BE62" s="109"/>
    </row>
    <row r="63" spans="1:57" s="52" customFormat="1" ht="17" customHeight="1" x14ac:dyDescent="0.2">
      <c r="A63" s="103"/>
      <c r="B63" s="103"/>
      <c r="C63" s="103"/>
      <c r="D63" s="103"/>
      <c r="E63" s="103"/>
      <c r="F63" s="103"/>
      <c r="G63" s="104"/>
      <c r="H63" s="103"/>
      <c r="I63" s="103"/>
      <c r="J63" s="104"/>
      <c r="K63" s="103"/>
      <c r="L63" s="103"/>
      <c r="M63" s="104"/>
      <c r="N63" s="103"/>
      <c r="O63" s="103"/>
      <c r="P63" s="104"/>
      <c r="Q63" s="103"/>
      <c r="R63" s="103"/>
      <c r="S63" s="104"/>
      <c r="T63" s="103"/>
      <c r="U63" s="103"/>
      <c r="V63" s="104"/>
      <c r="W63" s="103"/>
      <c r="X63" s="103"/>
      <c r="Y63" s="104"/>
      <c r="Z63" s="103"/>
      <c r="AA63" s="103"/>
      <c r="AB63" s="104"/>
      <c r="AC63" s="103"/>
      <c r="AD63" s="103"/>
      <c r="AE63" s="104"/>
      <c r="AF63" s="103"/>
      <c r="AG63" s="103"/>
      <c r="AH63" s="104"/>
      <c r="AI63" s="103"/>
      <c r="AJ63" s="103"/>
      <c r="AK63" s="103"/>
      <c r="AL63" s="103"/>
      <c r="AM63" s="103"/>
      <c r="AN63" s="104"/>
      <c r="AO63" s="103"/>
      <c r="AP63" s="103"/>
      <c r="AQ63" s="104"/>
      <c r="AR63" s="103"/>
      <c r="AS63" s="103"/>
      <c r="AT63" s="103"/>
      <c r="AU63" s="103"/>
      <c r="AV63" s="103"/>
      <c r="AW63" s="104"/>
      <c r="AX63" s="103"/>
      <c r="AY63" s="103"/>
      <c r="AZ63" s="104"/>
      <c r="BA63" s="103"/>
      <c r="BB63" s="103"/>
      <c r="BC63" s="103"/>
      <c r="BD63" s="103"/>
      <c r="BE63" s="103"/>
    </row>
    <row r="64" spans="1:57" ht="17" customHeight="1" x14ac:dyDescent="0.2">
      <c r="C64" s="52"/>
      <c r="G64" s="2">
        <v>1</v>
      </c>
      <c r="H64" s="2">
        <v>2</v>
      </c>
      <c r="I64" s="2">
        <v>3</v>
      </c>
      <c r="J64" s="2">
        <v>4</v>
      </c>
      <c r="K64" s="2">
        <v>5</v>
      </c>
      <c r="L64" s="2">
        <v>6</v>
      </c>
      <c r="M64" s="2">
        <v>7</v>
      </c>
      <c r="N64" s="2">
        <v>8</v>
      </c>
      <c r="O64" s="2">
        <v>9</v>
      </c>
      <c r="P64" s="2">
        <v>10</v>
      </c>
      <c r="Q64" s="2">
        <v>11</v>
      </c>
      <c r="R64" s="2">
        <v>12</v>
      </c>
      <c r="S64" s="2">
        <v>13</v>
      </c>
      <c r="T64" s="2">
        <v>14</v>
      </c>
      <c r="U64" s="2">
        <v>15</v>
      </c>
      <c r="V64" s="2">
        <v>16</v>
      </c>
      <c r="W64" s="2">
        <v>17</v>
      </c>
      <c r="X64" s="2">
        <v>18</v>
      </c>
      <c r="Y64" s="2">
        <v>19</v>
      </c>
      <c r="Z64" s="2">
        <v>20</v>
      </c>
    </row>
    <row r="65" spans="4:56" ht="17" customHeight="1" x14ac:dyDescent="0.2">
      <c r="F65" s="4">
        <v>1</v>
      </c>
      <c r="G65" s="2" cm="1">
        <f t="array" aca="1" ref="G65:Z88" ca="1">OFFSET('Dataset-Tumor'!D5, 24*(E66-1), 20*(E67-1), 24, 20)</f>
        <v>0</v>
      </c>
      <c r="H65" s="2">
        <f ca="1"/>
        <v>0</v>
      </c>
      <c r="I65" s="2">
        <f ca="1"/>
        <v>1</v>
      </c>
      <c r="J65" s="2">
        <f ca="1"/>
        <v>1</v>
      </c>
      <c r="K65" s="2">
        <f ca="1"/>
        <v>1</v>
      </c>
      <c r="L65" s="2">
        <f ca="1"/>
        <v>1</v>
      </c>
      <c r="M65" s="2">
        <f ca="1"/>
        <v>1</v>
      </c>
      <c r="N65" s="2">
        <f ca="1"/>
        <v>1</v>
      </c>
      <c r="O65" s="2">
        <f ca="1"/>
        <v>1</v>
      </c>
      <c r="P65" s="2">
        <f ca="1"/>
        <v>1</v>
      </c>
      <c r="Q65" s="2">
        <f ca="1"/>
        <v>1</v>
      </c>
      <c r="R65" s="2">
        <f ca="1"/>
        <v>1</v>
      </c>
      <c r="S65" s="2">
        <f ca="1"/>
        <v>1</v>
      </c>
      <c r="T65" s="2">
        <f ca="1"/>
        <v>1</v>
      </c>
      <c r="U65" s="2">
        <f ca="1"/>
        <v>1</v>
      </c>
      <c r="V65" s="2">
        <f ca="1"/>
        <v>1</v>
      </c>
      <c r="W65" s="2">
        <f ca="1"/>
        <v>1</v>
      </c>
      <c r="X65" s="2">
        <f ca="1"/>
        <v>1</v>
      </c>
      <c r="Y65" s="2">
        <f ca="1"/>
        <v>0</v>
      </c>
      <c r="Z65" s="2">
        <f ca="1"/>
        <v>0</v>
      </c>
    </row>
    <row r="66" spans="4:56" ht="17" customHeight="1" x14ac:dyDescent="0.2">
      <c r="D66" s="16" t="s">
        <v>25</v>
      </c>
      <c r="E66" s="49">
        <v>2</v>
      </c>
      <c r="F66" s="4">
        <v>2</v>
      </c>
      <c r="G66" s="2">
        <f ca="1"/>
        <v>0</v>
      </c>
      <c r="H66" s="2">
        <f ca="1"/>
        <v>3</v>
      </c>
      <c r="I66" s="2">
        <f ca="1"/>
        <v>4</v>
      </c>
      <c r="J66" s="2">
        <f ca="1"/>
        <v>4</v>
      </c>
      <c r="K66" s="2">
        <f ca="1"/>
        <v>4</v>
      </c>
      <c r="L66" s="2">
        <f ca="1"/>
        <v>4</v>
      </c>
      <c r="M66" s="2">
        <f ca="1"/>
        <v>4</v>
      </c>
      <c r="N66" s="2">
        <f ca="1"/>
        <v>4</v>
      </c>
      <c r="O66" s="2">
        <f ca="1"/>
        <v>4</v>
      </c>
      <c r="P66" s="2">
        <f ca="1"/>
        <v>4</v>
      </c>
      <c r="Q66" s="2">
        <f ca="1"/>
        <v>4</v>
      </c>
      <c r="R66" s="2">
        <f ca="1"/>
        <v>4</v>
      </c>
      <c r="S66" s="2">
        <f ca="1"/>
        <v>4</v>
      </c>
      <c r="T66" s="2">
        <f ca="1"/>
        <v>4</v>
      </c>
      <c r="U66" s="2">
        <f ca="1"/>
        <v>4</v>
      </c>
      <c r="V66" s="2">
        <f ca="1"/>
        <v>4</v>
      </c>
      <c r="W66" s="2">
        <f ca="1"/>
        <v>4</v>
      </c>
      <c r="X66" s="2">
        <f ca="1"/>
        <v>4</v>
      </c>
      <c r="Y66" s="2">
        <f ca="1"/>
        <v>3</v>
      </c>
      <c r="Z66" s="2">
        <f ca="1"/>
        <v>0</v>
      </c>
    </row>
    <row r="67" spans="4:56" ht="17" customHeight="1" x14ac:dyDescent="0.2">
      <c r="D67" s="16" t="s">
        <v>21</v>
      </c>
      <c r="E67" s="49">
        <v>3</v>
      </c>
      <c r="F67" s="4">
        <v>3</v>
      </c>
      <c r="G67" s="2">
        <f ca="1"/>
        <v>0</v>
      </c>
      <c r="H67" s="2">
        <f ca="1"/>
        <v>3</v>
      </c>
      <c r="I67" s="2">
        <f ca="1"/>
        <v>4</v>
      </c>
      <c r="J67" s="2">
        <f ca="1"/>
        <v>4</v>
      </c>
      <c r="K67" s="2">
        <f ca="1"/>
        <v>4</v>
      </c>
      <c r="L67" s="2">
        <f ca="1"/>
        <v>4</v>
      </c>
      <c r="M67" s="2">
        <f ca="1"/>
        <v>4</v>
      </c>
      <c r="N67" s="2">
        <f ca="1"/>
        <v>4</v>
      </c>
      <c r="O67" s="2">
        <f ca="1"/>
        <v>4</v>
      </c>
      <c r="P67" s="2">
        <f ca="1"/>
        <v>3</v>
      </c>
      <c r="Q67" s="2">
        <f ca="1"/>
        <v>4</v>
      </c>
      <c r="R67" s="2">
        <f ca="1"/>
        <v>3</v>
      </c>
      <c r="S67" s="2">
        <f ca="1"/>
        <v>3</v>
      </c>
      <c r="T67" s="2">
        <f ca="1"/>
        <v>4</v>
      </c>
      <c r="U67" s="2">
        <f ca="1"/>
        <v>4</v>
      </c>
      <c r="V67" s="2">
        <f ca="1"/>
        <v>4</v>
      </c>
      <c r="W67" s="2">
        <f ca="1"/>
        <v>4</v>
      </c>
      <c r="X67" s="2">
        <f ca="1"/>
        <v>4</v>
      </c>
      <c r="Y67" s="2">
        <f ca="1"/>
        <v>4</v>
      </c>
      <c r="Z67" s="2">
        <f ca="1"/>
        <v>0</v>
      </c>
    </row>
    <row r="68" spans="4:56" ht="17" customHeight="1" x14ac:dyDescent="0.2">
      <c r="F68" s="4">
        <v>4</v>
      </c>
      <c r="G68" s="2">
        <f ca="1"/>
        <v>0</v>
      </c>
      <c r="H68" s="2">
        <f ca="1"/>
        <v>4</v>
      </c>
      <c r="I68" s="2">
        <f ca="1"/>
        <v>4</v>
      </c>
      <c r="J68" s="2">
        <f ca="1"/>
        <v>4</v>
      </c>
      <c r="K68" s="2">
        <f ca="1"/>
        <v>3</v>
      </c>
      <c r="L68" s="2">
        <f ca="1"/>
        <v>3</v>
      </c>
      <c r="M68" s="2">
        <f ca="1"/>
        <v>3</v>
      </c>
      <c r="N68" s="2">
        <f ca="1"/>
        <v>4</v>
      </c>
      <c r="O68" s="2">
        <f ca="1"/>
        <v>5</v>
      </c>
      <c r="P68" s="2">
        <f ca="1"/>
        <v>5</v>
      </c>
      <c r="Q68" s="2">
        <f ca="1"/>
        <v>4</v>
      </c>
      <c r="R68" s="2">
        <f ca="1"/>
        <v>4</v>
      </c>
      <c r="S68" s="2">
        <f ca="1"/>
        <v>3</v>
      </c>
      <c r="T68" s="2">
        <f ca="1"/>
        <v>3</v>
      </c>
      <c r="U68" s="2">
        <f ca="1"/>
        <v>3</v>
      </c>
      <c r="V68" s="2">
        <f ca="1"/>
        <v>4</v>
      </c>
      <c r="W68" s="2">
        <f ca="1"/>
        <v>4</v>
      </c>
      <c r="X68" s="2">
        <f ca="1"/>
        <v>4</v>
      </c>
      <c r="Y68" s="2">
        <f ca="1"/>
        <v>4</v>
      </c>
      <c r="Z68" s="2">
        <f ca="1"/>
        <v>1</v>
      </c>
    </row>
    <row r="69" spans="4:56" ht="17" customHeight="1" x14ac:dyDescent="0.2">
      <c r="E69" s="4" t="s">
        <v>16</v>
      </c>
      <c r="F69" s="4">
        <v>5</v>
      </c>
      <c r="G69" s="2">
        <f ca="1"/>
        <v>1</v>
      </c>
      <c r="H69" s="2">
        <f ca="1"/>
        <v>3</v>
      </c>
      <c r="I69" s="2">
        <f ca="1"/>
        <v>4</v>
      </c>
      <c r="J69" s="2">
        <f ca="1"/>
        <v>3</v>
      </c>
      <c r="K69" s="2">
        <f ca="1"/>
        <v>3</v>
      </c>
      <c r="L69" s="2">
        <f ca="1"/>
        <v>4</v>
      </c>
      <c r="M69" s="2">
        <f ca="1"/>
        <v>5</v>
      </c>
      <c r="N69" s="2">
        <f ca="1"/>
        <v>5</v>
      </c>
      <c r="O69" s="2">
        <f ca="1"/>
        <v>4</v>
      </c>
      <c r="P69" s="2">
        <f ca="1"/>
        <v>3</v>
      </c>
      <c r="Q69" s="2">
        <f ca="1"/>
        <v>3</v>
      </c>
      <c r="R69" s="2">
        <f ca="1"/>
        <v>4</v>
      </c>
      <c r="S69" s="2">
        <f ca="1"/>
        <v>5</v>
      </c>
      <c r="T69" s="2">
        <f ca="1"/>
        <v>4</v>
      </c>
      <c r="U69" s="2">
        <f ca="1"/>
        <v>3</v>
      </c>
      <c r="V69" s="2">
        <f ca="1"/>
        <v>3</v>
      </c>
      <c r="W69" s="2">
        <f ca="1"/>
        <v>4</v>
      </c>
      <c r="X69" s="2">
        <f ca="1"/>
        <v>4</v>
      </c>
      <c r="Y69" s="2">
        <f ca="1"/>
        <v>4</v>
      </c>
      <c r="Z69" s="2">
        <f ca="1"/>
        <v>1</v>
      </c>
    </row>
    <row r="70" spans="4:56" ht="17" customHeight="1" x14ac:dyDescent="0.2">
      <c r="D70" s="16" t="s">
        <v>20</v>
      </c>
      <c r="E70" s="35" cm="1">
        <f t="array" ref="E70:E73">TRANSPOSE(IF(_xlfn.SEQUENCE(1, COUNT([0]!Classes),1,1)=E66,1,0))</f>
        <v>0</v>
      </c>
      <c r="F70" s="4">
        <v>6</v>
      </c>
      <c r="G70" s="2">
        <f ca="1"/>
        <v>1</v>
      </c>
      <c r="H70" s="2">
        <f ca="1"/>
        <v>4</v>
      </c>
      <c r="I70" s="2">
        <f ca="1"/>
        <v>3</v>
      </c>
      <c r="J70" s="2">
        <f ca="1"/>
        <v>3</v>
      </c>
      <c r="K70" s="2">
        <f ca="1"/>
        <v>3</v>
      </c>
      <c r="L70" s="2">
        <f ca="1"/>
        <v>5</v>
      </c>
      <c r="M70" s="2">
        <f ca="1"/>
        <v>5</v>
      </c>
      <c r="N70" s="2">
        <f ca="1"/>
        <v>3</v>
      </c>
      <c r="O70" s="2">
        <f ca="1"/>
        <v>8</v>
      </c>
      <c r="P70" s="2">
        <f ca="1"/>
        <v>20</v>
      </c>
      <c r="Q70" s="2">
        <f ca="1"/>
        <v>22</v>
      </c>
      <c r="R70" s="2">
        <f ca="1"/>
        <v>10</v>
      </c>
      <c r="S70" s="2">
        <f ca="1"/>
        <v>2</v>
      </c>
      <c r="T70" s="2">
        <f ca="1"/>
        <v>4</v>
      </c>
      <c r="U70" s="2">
        <f ca="1"/>
        <v>5</v>
      </c>
      <c r="V70" s="2">
        <f ca="1"/>
        <v>4</v>
      </c>
      <c r="W70" s="2">
        <f ca="1"/>
        <v>4</v>
      </c>
      <c r="X70" s="2">
        <f ca="1"/>
        <v>4</v>
      </c>
      <c r="Y70" s="2">
        <f ca="1"/>
        <v>4</v>
      </c>
      <c r="Z70" s="2">
        <f ca="1"/>
        <v>1</v>
      </c>
      <c r="AE70" s="2" t="s">
        <v>4</v>
      </c>
      <c r="AI70" s="2" t="s">
        <v>7</v>
      </c>
      <c r="AM70" s="2" t="s">
        <v>6</v>
      </c>
    </row>
    <row r="71" spans="4:56" ht="17" customHeight="1" x14ac:dyDescent="0.2">
      <c r="D71" s="16" t="s">
        <v>8</v>
      </c>
      <c r="E71" s="35">
        <v>1</v>
      </c>
      <c r="F71" s="4">
        <v>7</v>
      </c>
      <c r="G71" s="2">
        <f ca="1"/>
        <v>1</v>
      </c>
      <c r="H71" s="2">
        <f ca="1"/>
        <v>4</v>
      </c>
      <c r="I71" s="2">
        <f ca="1"/>
        <v>4</v>
      </c>
      <c r="J71" s="2">
        <f ca="1"/>
        <v>4</v>
      </c>
      <c r="K71" s="2">
        <f ca="1"/>
        <v>4</v>
      </c>
      <c r="L71" s="2">
        <f ca="1"/>
        <v>5</v>
      </c>
      <c r="M71" s="2">
        <f ca="1"/>
        <v>4</v>
      </c>
      <c r="N71" s="2">
        <f ca="1"/>
        <v>43</v>
      </c>
      <c r="O71" s="2">
        <f ca="1"/>
        <v>109</v>
      </c>
      <c r="P71" s="2">
        <f ca="1"/>
        <v>142</v>
      </c>
      <c r="Q71" s="2">
        <f ca="1"/>
        <v>151</v>
      </c>
      <c r="R71" s="2">
        <f ca="1"/>
        <v>131</v>
      </c>
      <c r="S71" s="2">
        <f ca="1"/>
        <v>60</v>
      </c>
      <c r="T71" s="2">
        <f ca="1"/>
        <v>6</v>
      </c>
      <c r="U71" s="2">
        <f ca="1"/>
        <v>5</v>
      </c>
      <c r="V71" s="2">
        <f ca="1"/>
        <v>5</v>
      </c>
      <c r="W71" s="2">
        <f ca="1"/>
        <v>4</v>
      </c>
      <c r="X71" s="2">
        <f ca="1"/>
        <v>4</v>
      </c>
      <c r="Y71" s="2">
        <f ca="1"/>
        <v>4</v>
      </c>
      <c r="Z71" s="2">
        <f ca="1"/>
        <v>1</v>
      </c>
      <c r="AE71" s="21" cm="1">
        <f t="array" aca="1" ref="AE71:AG73" ca="1">OFFSET(G65,$AE$10-1,$AE$11-1,3,3)</f>
        <v>74</v>
      </c>
      <c r="AF71" s="21">
        <f ca="1"/>
        <v>87</v>
      </c>
      <c r="AG71" s="21">
        <f ca="1"/>
        <v>170</v>
      </c>
      <c r="AH71" s="36"/>
      <c r="AI71" s="21" cm="1">
        <f t="array" aca="1" ref="AI71:AK73" ca="1">ROUND((_xlfn.ANCHORARRAY(AE71)-127.5)/127.5,2)</f>
        <v>-0.42</v>
      </c>
      <c r="AJ71" s="21">
        <f ca="1"/>
        <v>-0.32</v>
      </c>
      <c r="AK71" s="21">
        <f ca="1"/>
        <v>0.33</v>
      </c>
      <c r="AL71" s="36"/>
      <c r="AM71" s="21" cm="1">
        <f t="array" aca="1" ref="AM71:AM79" ca="1">ROUND(_xlfn.TOCOL(_xlfn.ANCHORARRAY(AI71)),2)</f>
        <v>-0.42</v>
      </c>
    </row>
    <row r="72" spans="4:56" ht="17" customHeight="1" x14ac:dyDescent="0.2">
      <c r="D72" s="16" t="s">
        <v>9</v>
      </c>
      <c r="E72" s="35">
        <v>0</v>
      </c>
      <c r="F72" s="4">
        <v>8</v>
      </c>
      <c r="G72" s="2">
        <f ca="1"/>
        <v>1</v>
      </c>
      <c r="H72" s="2">
        <f ca="1"/>
        <v>4</v>
      </c>
      <c r="I72" s="2">
        <f ca="1"/>
        <v>4</v>
      </c>
      <c r="J72" s="2">
        <f ca="1"/>
        <v>4</v>
      </c>
      <c r="K72" s="2">
        <f ca="1"/>
        <v>5</v>
      </c>
      <c r="L72" s="2">
        <f ca="1"/>
        <v>3</v>
      </c>
      <c r="M72" s="2">
        <f ca="1"/>
        <v>44</v>
      </c>
      <c r="N72" s="2">
        <f ca="1"/>
        <v>131</v>
      </c>
      <c r="O72" s="2">
        <f ca="1"/>
        <v>125</v>
      </c>
      <c r="P72" s="2">
        <f ca="1"/>
        <v>95</v>
      </c>
      <c r="Q72" s="2">
        <f ca="1"/>
        <v>92</v>
      </c>
      <c r="R72" s="2">
        <f ca="1"/>
        <v>132</v>
      </c>
      <c r="S72" s="2">
        <f ca="1"/>
        <v>160</v>
      </c>
      <c r="T72" s="2">
        <f ca="1"/>
        <v>71</v>
      </c>
      <c r="U72" s="2">
        <f ca="1"/>
        <v>2</v>
      </c>
      <c r="V72" s="2">
        <f ca="1"/>
        <v>5</v>
      </c>
      <c r="W72" s="2">
        <f ca="1"/>
        <v>4</v>
      </c>
      <c r="X72" s="2">
        <f ca="1"/>
        <v>4</v>
      </c>
      <c r="Y72" s="2">
        <f ca="1"/>
        <v>4</v>
      </c>
      <c r="Z72" s="2">
        <f ca="1"/>
        <v>1</v>
      </c>
      <c r="AE72" s="21">
        <f ca="1"/>
        <v>156</v>
      </c>
      <c r="AF72" s="21">
        <f ca="1"/>
        <v>176</v>
      </c>
      <c r="AG72" s="21">
        <f ca="1"/>
        <v>152</v>
      </c>
      <c r="AH72" s="36"/>
      <c r="AI72" s="21">
        <f ca="1"/>
        <v>0.22</v>
      </c>
      <c r="AJ72" s="21">
        <f ca="1"/>
        <v>0.38</v>
      </c>
      <c r="AK72" s="21">
        <f ca="1"/>
        <v>0.19</v>
      </c>
      <c r="AL72" s="36"/>
      <c r="AM72" s="21">
        <f ca="1"/>
        <v>-0.32</v>
      </c>
    </row>
    <row r="73" spans="4:56" ht="17" customHeight="1" x14ac:dyDescent="0.2">
      <c r="D73" s="16" t="s">
        <v>10</v>
      </c>
      <c r="E73" s="35">
        <v>0</v>
      </c>
      <c r="F73" s="4">
        <v>9</v>
      </c>
      <c r="G73" s="2">
        <f ca="1"/>
        <v>1</v>
      </c>
      <c r="H73" s="2">
        <f ca="1"/>
        <v>4</v>
      </c>
      <c r="I73" s="2">
        <f ca="1"/>
        <v>4</v>
      </c>
      <c r="J73" s="2">
        <f ca="1"/>
        <v>5</v>
      </c>
      <c r="K73" s="2">
        <f ca="1"/>
        <v>4</v>
      </c>
      <c r="L73" s="2">
        <f ca="1"/>
        <v>16</v>
      </c>
      <c r="M73" s="2">
        <f ca="1"/>
        <v>115</v>
      </c>
      <c r="N73" s="2">
        <f ca="1"/>
        <v>103</v>
      </c>
      <c r="O73" s="2">
        <f ca="1"/>
        <v>64</v>
      </c>
      <c r="P73" s="2">
        <f ca="1"/>
        <v>86</v>
      </c>
      <c r="Q73" s="2">
        <f ca="1"/>
        <v>82</v>
      </c>
      <c r="R73" s="2">
        <f ca="1"/>
        <v>68</v>
      </c>
      <c r="S73" s="2">
        <f ca="1"/>
        <v>104</v>
      </c>
      <c r="T73" s="2">
        <f ca="1"/>
        <v>162</v>
      </c>
      <c r="U73" s="2">
        <f ca="1"/>
        <v>41</v>
      </c>
      <c r="V73" s="2">
        <f ca="1"/>
        <v>1</v>
      </c>
      <c r="W73" s="2">
        <f ca="1"/>
        <v>5</v>
      </c>
      <c r="X73" s="2">
        <f ca="1"/>
        <v>4</v>
      </c>
      <c r="Y73" s="2">
        <f ca="1"/>
        <v>4</v>
      </c>
      <c r="Z73" s="2">
        <f ca="1"/>
        <v>1</v>
      </c>
      <c r="AE73" s="21">
        <f ca="1"/>
        <v>120</v>
      </c>
      <c r="AF73" s="21">
        <f ca="1"/>
        <v>92</v>
      </c>
      <c r="AG73" s="21">
        <f ca="1"/>
        <v>33</v>
      </c>
      <c r="AH73" s="36"/>
      <c r="AI73" s="21">
        <f ca="1"/>
        <v>-0.06</v>
      </c>
      <c r="AJ73" s="21">
        <f ca="1"/>
        <v>-0.28000000000000003</v>
      </c>
      <c r="AK73" s="21">
        <f ca="1"/>
        <v>-0.74</v>
      </c>
      <c r="AL73" s="36"/>
      <c r="AM73" s="21">
        <f ca="1"/>
        <v>0.33</v>
      </c>
    </row>
    <row r="74" spans="4:56" ht="17" customHeight="1" x14ac:dyDescent="0.2">
      <c r="F74" s="4">
        <v>10</v>
      </c>
      <c r="G74" s="2">
        <f ca="1"/>
        <v>1</v>
      </c>
      <c r="H74" s="2">
        <f ca="1"/>
        <v>4</v>
      </c>
      <c r="I74" s="2">
        <f ca="1"/>
        <v>5</v>
      </c>
      <c r="J74" s="2">
        <f ca="1"/>
        <v>5</v>
      </c>
      <c r="K74" s="2">
        <f ca="1"/>
        <v>2</v>
      </c>
      <c r="L74" s="2">
        <f ca="1"/>
        <v>66</v>
      </c>
      <c r="M74" s="2">
        <f ca="1"/>
        <v>127</v>
      </c>
      <c r="N74" s="2">
        <f ca="1"/>
        <v>73</v>
      </c>
      <c r="O74" s="2">
        <f ca="1"/>
        <v>131</v>
      </c>
      <c r="P74" s="2">
        <f ca="1"/>
        <v>164</v>
      </c>
      <c r="Q74" s="2">
        <f ca="1"/>
        <v>123</v>
      </c>
      <c r="R74" s="2">
        <f ca="1"/>
        <v>72</v>
      </c>
      <c r="S74" s="2">
        <f ca="1"/>
        <v>70</v>
      </c>
      <c r="T74" s="2">
        <f ca="1"/>
        <v>140</v>
      </c>
      <c r="U74" s="2">
        <f ca="1"/>
        <v>131</v>
      </c>
      <c r="V74" s="2">
        <f ca="1"/>
        <v>8</v>
      </c>
      <c r="W74" s="2">
        <f ca="1"/>
        <v>4</v>
      </c>
      <c r="X74" s="2">
        <f ca="1"/>
        <v>4</v>
      </c>
      <c r="Y74" s="2">
        <f ca="1"/>
        <v>4</v>
      </c>
      <c r="Z74" s="2">
        <f ca="1"/>
        <v>2</v>
      </c>
      <c r="AE74" s="36"/>
      <c r="AF74" s="36"/>
      <c r="AG74" s="36"/>
      <c r="AH74" s="36"/>
      <c r="AI74" s="36"/>
      <c r="AJ74" s="36"/>
      <c r="AK74" s="36"/>
      <c r="AL74" s="36"/>
      <c r="AM74" s="21">
        <f ca="1"/>
        <v>0.22</v>
      </c>
    </row>
    <row r="75" spans="4:56" ht="17" customHeight="1" x14ac:dyDescent="0.2">
      <c r="F75" s="4">
        <v>11</v>
      </c>
      <c r="G75" s="2">
        <f ca="1"/>
        <v>1</v>
      </c>
      <c r="H75" s="2">
        <f ca="1"/>
        <v>4</v>
      </c>
      <c r="I75" s="2">
        <f ca="1"/>
        <v>5</v>
      </c>
      <c r="J75" s="2">
        <f ca="1"/>
        <v>3</v>
      </c>
      <c r="K75" s="2">
        <f ca="1"/>
        <v>18</v>
      </c>
      <c r="L75" s="2">
        <f ca="1"/>
        <v>122</v>
      </c>
      <c r="M75" s="2">
        <f ca="1"/>
        <v>95</v>
      </c>
      <c r="N75" s="2">
        <f ca="1"/>
        <v>111</v>
      </c>
      <c r="O75" s="2">
        <f ca="1"/>
        <v>152</v>
      </c>
      <c r="P75" s="2">
        <f ca="1"/>
        <v>156</v>
      </c>
      <c r="Q75" s="2">
        <f ca="1"/>
        <v>130</v>
      </c>
      <c r="R75" s="2">
        <f ca="1"/>
        <v>77</v>
      </c>
      <c r="S75" s="2">
        <f ca="1"/>
        <v>78</v>
      </c>
      <c r="T75" s="2">
        <f ca="1"/>
        <v>82</v>
      </c>
      <c r="U75" s="2">
        <f ca="1"/>
        <v>171</v>
      </c>
      <c r="V75" s="2">
        <f ca="1"/>
        <v>63</v>
      </c>
      <c r="W75" s="2">
        <f ca="1"/>
        <v>1</v>
      </c>
      <c r="X75" s="2">
        <f ca="1"/>
        <v>4</v>
      </c>
      <c r="Y75" s="2">
        <f ca="1"/>
        <v>4</v>
      </c>
      <c r="Z75" s="2">
        <f ca="1"/>
        <v>2</v>
      </c>
      <c r="AE75" s="36"/>
      <c r="AF75" s="36"/>
      <c r="AG75" s="36"/>
      <c r="AH75" s="36"/>
      <c r="AI75" s="36"/>
      <c r="AJ75" s="36"/>
      <c r="AK75" s="36"/>
      <c r="AL75" s="36"/>
      <c r="AM75" s="21">
        <f ca="1"/>
        <v>0.38</v>
      </c>
    </row>
    <row r="76" spans="4:56" ht="17" customHeight="1" x14ac:dyDescent="0.2">
      <c r="F76" s="4">
        <v>12</v>
      </c>
      <c r="G76" s="2">
        <f ca="1"/>
        <v>1</v>
      </c>
      <c r="H76" s="2">
        <f ca="1"/>
        <v>4</v>
      </c>
      <c r="I76" s="2">
        <f ca="1"/>
        <v>5</v>
      </c>
      <c r="J76" s="2">
        <f ca="1"/>
        <v>2</v>
      </c>
      <c r="K76" s="2">
        <f ca="1"/>
        <v>55</v>
      </c>
      <c r="L76" s="2">
        <f ca="1"/>
        <v>138</v>
      </c>
      <c r="M76" s="2">
        <f ca="1"/>
        <v>81</v>
      </c>
      <c r="N76" s="2">
        <f ca="1"/>
        <v>156</v>
      </c>
      <c r="O76" s="2">
        <f ca="1"/>
        <v>152</v>
      </c>
      <c r="P76" s="2">
        <f ca="1"/>
        <v>157</v>
      </c>
      <c r="Q76" s="2">
        <f ca="1"/>
        <v>142</v>
      </c>
      <c r="R76" s="2">
        <f ca="1"/>
        <v>85</v>
      </c>
      <c r="S76" s="2">
        <f ca="1"/>
        <v>89</v>
      </c>
      <c r="T76" s="2">
        <f ca="1"/>
        <v>69</v>
      </c>
      <c r="U76" s="2">
        <f ca="1"/>
        <v>136</v>
      </c>
      <c r="V76" s="2">
        <f ca="1"/>
        <v>133</v>
      </c>
      <c r="W76" s="2">
        <f ca="1"/>
        <v>10</v>
      </c>
      <c r="X76" s="2">
        <f ca="1"/>
        <v>3</v>
      </c>
      <c r="Y76" s="2">
        <f ca="1"/>
        <v>4</v>
      </c>
      <c r="Z76" s="2">
        <f ca="1"/>
        <v>2</v>
      </c>
      <c r="AE76" s="36"/>
      <c r="AF76" s="36"/>
      <c r="AG76" s="36"/>
      <c r="AH76" s="36"/>
      <c r="AI76" s="36"/>
      <c r="AJ76" s="36"/>
      <c r="AK76" s="36"/>
      <c r="AL76" s="36"/>
      <c r="AM76" s="21">
        <f ca="1"/>
        <v>0.19</v>
      </c>
    </row>
    <row r="77" spans="4:56" ht="17" customHeight="1" x14ac:dyDescent="0.2">
      <c r="F77" s="4">
        <v>13</v>
      </c>
      <c r="G77" s="2">
        <f ca="1"/>
        <v>1</v>
      </c>
      <c r="H77" s="2">
        <f ca="1"/>
        <v>4</v>
      </c>
      <c r="I77" s="2">
        <f ca="1"/>
        <v>5</v>
      </c>
      <c r="J77" s="2">
        <f ca="1"/>
        <v>3</v>
      </c>
      <c r="K77" s="2">
        <f ca="1"/>
        <v>92</v>
      </c>
      <c r="L77" s="2">
        <f ca="1"/>
        <v>130</v>
      </c>
      <c r="M77" s="2">
        <f ca="1"/>
        <v>75</v>
      </c>
      <c r="N77" s="2">
        <f ca="1"/>
        <v>149</v>
      </c>
      <c r="O77" s="2">
        <f ca="1"/>
        <v>176</v>
      </c>
      <c r="P77" s="2">
        <f ca="1"/>
        <v>173</v>
      </c>
      <c r="Q77" s="2">
        <f ca="1"/>
        <v>132</v>
      </c>
      <c r="R77" s="2">
        <f ca="1"/>
        <v>90</v>
      </c>
      <c r="S77" s="2">
        <f ca="1"/>
        <v>97</v>
      </c>
      <c r="T77" s="2">
        <f ca="1"/>
        <v>80</v>
      </c>
      <c r="U77" s="2">
        <f ca="1"/>
        <v>105</v>
      </c>
      <c r="V77" s="2">
        <f ca="1"/>
        <v>161</v>
      </c>
      <c r="W77" s="2">
        <f ca="1"/>
        <v>30</v>
      </c>
      <c r="X77" s="2">
        <f ca="1"/>
        <v>1</v>
      </c>
      <c r="Y77" s="2">
        <f ca="1"/>
        <v>4</v>
      </c>
      <c r="Z77" s="2">
        <f ca="1"/>
        <v>2</v>
      </c>
      <c r="AE77" s="36"/>
      <c r="AF77" s="36"/>
      <c r="AG77" s="36"/>
      <c r="AH77" s="36"/>
      <c r="AI77" s="36"/>
      <c r="AJ77" s="36"/>
      <c r="AK77" s="36"/>
      <c r="AL77" s="36"/>
      <c r="AM77" s="21">
        <f ca="1"/>
        <v>-0.06</v>
      </c>
    </row>
    <row r="78" spans="4:56" ht="17" customHeight="1" x14ac:dyDescent="0.2">
      <c r="F78" s="4">
        <v>14</v>
      </c>
      <c r="G78" s="2">
        <f ca="1"/>
        <v>1</v>
      </c>
      <c r="H78" s="2">
        <f ca="1"/>
        <v>4</v>
      </c>
      <c r="I78" s="2">
        <f ca="1"/>
        <v>4</v>
      </c>
      <c r="J78" s="2">
        <f ca="1"/>
        <v>3</v>
      </c>
      <c r="K78" s="2">
        <f ca="1"/>
        <v>97</v>
      </c>
      <c r="L78" s="2">
        <f ca="1"/>
        <v>139</v>
      </c>
      <c r="M78" s="2">
        <f ca="1"/>
        <v>77</v>
      </c>
      <c r="N78" s="2">
        <f ca="1"/>
        <v>85</v>
      </c>
      <c r="O78" s="2">
        <f ca="1"/>
        <v>125</v>
      </c>
      <c r="P78" s="2">
        <f ca="1"/>
        <v>107</v>
      </c>
      <c r="Q78" s="2">
        <f ca="1"/>
        <v>86</v>
      </c>
      <c r="R78" s="2">
        <f ca="1"/>
        <v>94</v>
      </c>
      <c r="S78" s="2">
        <f ca="1"/>
        <v>93</v>
      </c>
      <c r="T78" s="2">
        <f ca="1"/>
        <v>92</v>
      </c>
      <c r="U78" s="2">
        <f ca="1"/>
        <v>108</v>
      </c>
      <c r="V78" s="2">
        <f ca="1"/>
        <v>162</v>
      </c>
      <c r="W78" s="2">
        <f ca="1"/>
        <v>36</v>
      </c>
      <c r="X78" s="2">
        <f ca="1"/>
        <v>1</v>
      </c>
      <c r="Y78" s="2">
        <f ca="1"/>
        <v>4</v>
      </c>
      <c r="Z78" s="2">
        <f ca="1"/>
        <v>2</v>
      </c>
      <c r="AE78" s="36"/>
      <c r="AF78" s="36"/>
      <c r="AG78" s="36"/>
      <c r="AH78" s="36"/>
      <c r="AI78" s="36"/>
      <c r="AJ78" s="36"/>
      <c r="AK78" s="36"/>
      <c r="AL78" s="36"/>
      <c r="AM78" s="21">
        <f ca="1"/>
        <v>-0.28000000000000003</v>
      </c>
    </row>
    <row r="79" spans="4:56" ht="17" customHeight="1" x14ac:dyDescent="0.2">
      <c r="F79" s="4">
        <v>15</v>
      </c>
      <c r="G79" s="2">
        <f ca="1"/>
        <v>1</v>
      </c>
      <c r="H79" s="2">
        <f ca="1"/>
        <v>4</v>
      </c>
      <c r="I79" s="2">
        <f ca="1"/>
        <v>4</v>
      </c>
      <c r="J79" s="2">
        <f ca="1"/>
        <v>1</v>
      </c>
      <c r="K79" s="2">
        <f ca="1"/>
        <v>61</v>
      </c>
      <c r="L79" s="2">
        <f ca="1"/>
        <v>159</v>
      </c>
      <c r="M79" s="2">
        <f ca="1"/>
        <v>92</v>
      </c>
      <c r="N79" s="2">
        <f ca="1"/>
        <v>79</v>
      </c>
      <c r="O79" s="2">
        <f ca="1"/>
        <v>84</v>
      </c>
      <c r="P79" s="2">
        <f ca="1"/>
        <v>92</v>
      </c>
      <c r="Q79" s="2">
        <f ca="1"/>
        <v>107</v>
      </c>
      <c r="R79" s="2">
        <f ca="1"/>
        <v>95</v>
      </c>
      <c r="S79" s="2">
        <f ca="1"/>
        <v>86</v>
      </c>
      <c r="T79" s="2">
        <f ca="1"/>
        <v>78</v>
      </c>
      <c r="U79" s="2">
        <f ca="1"/>
        <v>131</v>
      </c>
      <c r="V79" s="2">
        <f ca="1"/>
        <v>153</v>
      </c>
      <c r="W79" s="2">
        <f ca="1"/>
        <v>21</v>
      </c>
      <c r="X79" s="2">
        <f ca="1"/>
        <v>2</v>
      </c>
      <c r="Y79" s="2">
        <f ca="1"/>
        <v>4</v>
      </c>
      <c r="Z79" s="2">
        <f ca="1"/>
        <v>2</v>
      </c>
      <c r="AE79" s="36"/>
      <c r="AF79" s="36"/>
      <c r="AG79" s="36"/>
      <c r="AH79" s="36"/>
      <c r="AI79" s="36"/>
      <c r="AJ79" s="36"/>
      <c r="AK79" s="36"/>
      <c r="AL79" s="36"/>
      <c r="AM79" s="21">
        <f ca="1"/>
        <v>-0.74</v>
      </c>
      <c r="AU79" s="2" t="s">
        <v>13</v>
      </c>
    </row>
    <row r="80" spans="4:56" ht="17" customHeight="1" x14ac:dyDescent="0.2">
      <c r="F80" s="4">
        <v>16</v>
      </c>
      <c r="G80" s="2">
        <f ca="1"/>
        <v>1</v>
      </c>
      <c r="H80" s="2">
        <f ca="1"/>
        <v>4</v>
      </c>
      <c r="I80" s="2">
        <f ca="1"/>
        <v>5</v>
      </c>
      <c r="J80" s="2">
        <f ca="1"/>
        <v>4</v>
      </c>
      <c r="K80" s="2">
        <f ca="1"/>
        <v>15</v>
      </c>
      <c r="L80" s="2">
        <f ca="1"/>
        <v>133</v>
      </c>
      <c r="M80" s="2">
        <f ca="1"/>
        <v>147</v>
      </c>
      <c r="N80" s="2">
        <f ca="1"/>
        <v>85</v>
      </c>
      <c r="O80" s="2">
        <f ca="1"/>
        <v>90</v>
      </c>
      <c r="P80" s="2">
        <f ca="1"/>
        <v>93</v>
      </c>
      <c r="Q80" s="2">
        <f ca="1"/>
        <v>99</v>
      </c>
      <c r="R80" s="2">
        <f ca="1"/>
        <v>91</v>
      </c>
      <c r="S80" s="2">
        <f ca="1"/>
        <v>77</v>
      </c>
      <c r="T80" s="2">
        <f ca="1"/>
        <v>88</v>
      </c>
      <c r="U80" s="2">
        <f ca="1"/>
        <v>173</v>
      </c>
      <c r="V80" s="2">
        <f ca="1"/>
        <v>108</v>
      </c>
      <c r="W80" s="2">
        <f ca="1"/>
        <v>5</v>
      </c>
      <c r="X80" s="2">
        <f ca="1"/>
        <v>4</v>
      </c>
      <c r="Y80" s="2">
        <f ca="1"/>
        <v>4</v>
      </c>
      <c r="Z80" s="2">
        <f ca="1"/>
        <v>2</v>
      </c>
      <c r="AM80" s="20">
        <v>1</v>
      </c>
      <c r="AU80" s="21" cm="1">
        <f t="array" aca="1" ref="AU80:BD80" ca="1">TRANSPOSE(AM71:AM80)</f>
        <v>-0.42</v>
      </c>
      <c r="AV80" s="21">
        <f ca="1"/>
        <v>-0.32</v>
      </c>
      <c r="AW80" s="21">
        <f ca="1"/>
        <v>0.33</v>
      </c>
      <c r="AX80" s="21">
        <f ca="1"/>
        <v>0.22</v>
      </c>
      <c r="AY80" s="21">
        <f ca="1"/>
        <v>0.38</v>
      </c>
      <c r="AZ80" s="21">
        <f ca="1"/>
        <v>0.19</v>
      </c>
      <c r="BA80" s="21">
        <f ca="1"/>
        <v>-0.06</v>
      </c>
      <c r="BB80" s="21">
        <f ca="1"/>
        <v>-0.28000000000000003</v>
      </c>
      <c r="BC80" s="102">
        <f ca="1"/>
        <v>-0.74</v>
      </c>
      <c r="BD80" s="20">
        <f ca="1"/>
        <v>1</v>
      </c>
    </row>
    <row r="81" spans="1:57" ht="17" customHeight="1" x14ac:dyDescent="0.2">
      <c r="F81" s="4">
        <v>17</v>
      </c>
      <c r="G81" s="2">
        <f ca="1"/>
        <v>1</v>
      </c>
      <c r="H81" s="2">
        <f ca="1"/>
        <v>4</v>
      </c>
      <c r="I81" s="2">
        <f ca="1"/>
        <v>5</v>
      </c>
      <c r="J81" s="2">
        <f ca="1"/>
        <v>6</v>
      </c>
      <c r="K81" s="2">
        <f ca="1"/>
        <v>1</v>
      </c>
      <c r="L81" s="2">
        <f ca="1"/>
        <v>52</v>
      </c>
      <c r="M81" s="2">
        <f ca="1"/>
        <v>168</v>
      </c>
      <c r="N81" s="2">
        <f ca="1"/>
        <v>141</v>
      </c>
      <c r="O81" s="2">
        <f ca="1"/>
        <v>95</v>
      </c>
      <c r="P81" s="2">
        <f ca="1"/>
        <v>84</v>
      </c>
      <c r="Q81" s="2">
        <f ca="1"/>
        <v>53</v>
      </c>
      <c r="R81" s="2">
        <f ca="1"/>
        <v>74</v>
      </c>
      <c r="S81" s="2">
        <f ca="1"/>
        <v>87</v>
      </c>
      <c r="T81" s="2">
        <f ca="1"/>
        <v>170</v>
      </c>
      <c r="U81" s="2">
        <f ca="1"/>
        <v>162</v>
      </c>
      <c r="V81" s="2">
        <f ca="1"/>
        <v>38</v>
      </c>
      <c r="W81" s="2">
        <f ca="1"/>
        <v>2</v>
      </c>
      <c r="X81" s="2">
        <f ca="1"/>
        <v>5</v>
      </c>
      <c r="Y81" s="2">
        <f ca="1"/>
        <v>4</v>
      </c>
      <c r="Z81" s="2">
        <f ca="1"/>
        <v>2</v>
      </c>
    </row>
    <row r="82" spans="1:57" ht="17" customHeight="1" x14ac:dyDescent="0.2">
      <c r="F82" s="4">
        <v>18</v>
      </c>
      <c r="G82" s="2">
        <f ca="1"/>
        <v>1</v>
      </c>
      <c r="H82" s="2">
        <f ca="1"/>
        <v>4</v>
      </c>
      <c r="I82" s="2">
        <f ca="1"/>
        <v>4</v>
      </c>
      <c r="J82" s="2">
        <f ca="1"/>
        <v>4</v>
      </c>
      <c r="K82" s="2">
        <f ca="1"/>
        <v>4</v>
      </c>
      <c r="L82" s="2">
        <f ca="1"/>
        <v>3</v>
      </c>
      <c r="M82" s="2">
        <f ca="1"/>
        <v>68</v>
      </c>
      <c r="N82" s="2">
        <f ca="1"/>
        <v>159</v>
      </c>
      <c r="O82" s="2">
        <f ca="1"/>
        <v>171</v>
      </c>
      <c r="P82" s="2">
        <f ca="1"/>
        <v>159</v>
      </c>
      <c r="Q82" s="2">
        <f ca="1"/>
        <v>157</v>
      </c>
      <c r="R82" s="2">
        <f ca="1"/>
        <v>156</v>
      </c>
      <c r="S82" s="2">
        <f ca="1"/>
        <v>176</v>
      </c>
      <c r="T82" s="2">
        <f ca="1"/>
        <v>152</v>
      </c>
      <c r="U82" s="2">
        <f ca="1"/>
        <v>57</v>
      </c>
      <c r="V82" s="2">
        <f ca="1"/>
        <v>2</v>
      </c>
      <c r="W82" s="2">
        <f ca="1"/>
        <v>4</v>
      </c>
      <c r="X82" s="2">
        <f ca="1"/>
        <v>4</v>
      </c>
      <c r="Y82" s="2">
        <f ca="1"/>
        <v>4</v>
      </c>
      <c r="Z82" s="2">
        <f ca="1"/>
        <v>1</v>
      </c>
      <c r="AB82" s="2" t="s">
        <v>11</v>
      </c>
      <c r="AK82" s="2" t="s">
        <v>12</v>
      </c>
      <c r="AM82" s="2" t="s">
        <v>86</v>
      </c>
      <c r="AO82" s="2" t="s">
        <v>63</v>
      </c>
      <c r="AP82" s="2" t="s">
        <v>92</v>
      </c>
      <c r="AQ82" s="2" t="s">
        <v>26</v>
      </c>
      <c r="AS82" s="136" t="s">
        <v>94</v>
      </c>
      <c r="AU82" s="136" t="s">
        <v>90</v>
      </c>
      <c r="BD82" s="2" t="s">
        <v>91</v>
      </c>
    </row>
    <row r="83" spans="1:57" ht="17" customHeight="1" x14ac:dyDescent="0.2">
      <c r="F83" s="4">
        <v>19</v>
      </c>
      <c r="G83" s="2">
        <f ca="1"/>
        <v>1</v>
      </c>
      <c r="H83" s="2">
        <f ca="1"/>
        <v>4</v>
      </c>
      <c r="I83" s="2">
        <f ca="1"/>
        <v>3</v>
      </c>
      <c r="J83" s="2">
        <f ca="1"/>
        <v>3</v>
      </c>
      <c r="K83" s="2">
        <f ca="1"/>
        <v>3</v>
      </c>
      <c r="L83" s="2">
        <f ca="1"/>
        <v>3</v>
      </c>
      <c r="M83" s="2">
        <f ca="1"/>
        <v>3</v>
      </c>
      <c r="N83" s="2">
        <f ca="1"/>
        <v>41</v>
      </c>
      <c r="O83" s="2">
        <f ca="1"/>
        <v>95</v>
      </c>
      <c r="P83" s="2">
        <f ca="1"/>
        <v>128</v>
      </c>
      <c r="Q83" s="2">
        <f ca="1"/>
        <v>132</v>
      </c>
      <c r="R83" s="2">
        <f ca="1"/>
        <v>120</v>
      </c>
      <c r="S83" s="2">
        <f ca="1"/>
        <v>92</v>
      </c>
      <c r="T83" s="2">
        <f ca="1"/>
        <v>33</v>
      </c>
      <c r="U83" s="2">
        <f ca="1"/>
        <v>1</v>
      </c>
      <c r="V83" s="2">
        <f ca="1"/>
        <v>3</v>
      </c>
      <c r="W83" s="2">
        <f ca="1"/>
        <v>3</v>
      </c>
      <c r="X83" s="2">
        <f ca="1"/>
        <v>3</v>
      </c>
      <c r="Y83" s="2">
        <f ca="1"/>
        <v>4</v>
      </c>
      <c r="Z83" s="2">
        <f ca="1"/>
        <v>1</v>
      </c>
      <c r="AB83" s="20" cm="1">
        <f t="array" aca="1" ref="AB83:AK86" ca="1">ROUND(_xlfn.ANCHORARRAY(AB55)+_xlfn.ANCHORARRAY(AU55),2)</f>
        <v>0.63</v>
      </c>
      <c r="AC83" s="20">
        <f ca="1"/>
        <v>0.48</v>
      </c>
      <c r="AD83" s="20">
        <f ca="1"/>
        <v>-0.14000000000000001</v>
      </c>
      <c r="AE83" s="20">
        <f ca="1"/>
        <v>0.24</v>
      </c>
      <c r="AF83" s="20">
        <f ca="1"/>
        <v>0.53</v>
      </c>
      <c r="AG83" s="20">
        <f ca="1"/>
        <v>0.12</v>
      </c>
      <c r="AH83" s="20">
        <f ca="1"/>
        <v>-0.82</v>
      </c>
      <c r="AI83" s="20">
        <f ca="1"/>
        <v>0.17</v>
      </c>
      <c r="AJ83" s="20">
        <f ca="1"/>
        <v>0.14000000000000001</v>
      </c>
      <c r="AK83" s="20">
        <f ca="1"/>
        <v>-0.56000000000000005</v>
      </c>
      <c r="AM83" s="20" cm="1">
        <f t="array" aca="1" ref="AM83:AM86" ca="1">ROUND(MMULT(_xlfn.ANCHORARRAY(AB83),$AM$71:$AM$80),2)</f>
        <v>-0.85</v>
      </c>
      <c r="AO83" s="20" cm="1">
        <f t="array" aca="1" ref="AO83:AO86" ca="1">EXP(_xlfn.ANCHORARRAY(AM83))/SUM(EXP(_xlfn.ANCHORARRAY(AM83)))</f>
        <v>5.8961654764305677E-2</v>
      </c>
      <c r="AP83" s="20" cm="1">
        <f t="array" ref="AP83:AP86">_xlfn.ANCHORARRAY(E70)</f>
        <v>0</v>
      </c>
      <c r="AQ83" s="85" cm="1">
        <f t="array" aca="1" ref="AQ83" ca="1">-SUMPRODUCT(_xlfn.ANCHORARRAY(AP83), LN(_xlfn.ANCHORARRAY(AO83)))</f>
        <v>0.6808679656145411</v>
      </c>
      <c r="AS83" s="20" cm="1">
        <f t="array" aca="1" ref="AS83:AS86" ca="1">ROUND(_xlfn.ANCHORARRAY(AO83)-AP83:AP86,2)</f>
        <v>0.06</v>
      </c>
      <c r="AU83" s="20" cm="1">
        <f t="array" aca="1" ref="AU83:BD86" ca="1">ROUND(-$AV$21*MMULT(_xlfn.ANCHORARRAY(AS83),_xlfn.ANCHORARRAY(AU80)),2)</f>
        <v>0.01</v>
      </c>
      <c r="AV83" s="20">
        <f ca="1"/>
        <v>0</v>
      </c>
      <c r="AW83" s="20">
        <f ca="1"/>
        <v>0</v>
      </c>
      <c r="AX83" s="20">
        <f ca="1"/>
        <v>0</v>
      </c>
      <c r="AY83" s="20">
        <f ca="1"/>
        <v>-0.01</v>
      </c>
      <c r="AZ83" s="20">
        <f ca="1"/>
        <v>0</v>
      </c>
      <c r="BA83" s="20">
        <f ca="1"/>
        <v>0</v>
      </c>
      <c r="BB83" s="20">
        <f ca="1"/>
        <v>0</v>
      </c>
      <c r="BC83" s="20">
        <f ca="1"/>
        <v>0.01</v>
      </c>
      <c r="BD83" s="20">
        <f ca="1"/>
        <v>-0.02</v>
      </c>
    </row>
    <row r="84" spans="1:57" ht="17" customHeight="1" x14ac:dyDescent="0.2">
      <c r="F84" s="4">
        <v>20</v>
      </c>
      <c r="G84" s="2">
        <f ca="1"/>
        <v>1</v>
      </c>
      <c r="H84" s="2">
        <f ca="1"/>
        <v>4</v>
      </c>
      <c r="I84" s="2">
        <f ca="1"/>
        <v>4</v>
      </c>
      <c r="J84" s="2">
        <f ca="1"/>
        <v>3</v>
      </c>
      <c r="K84" s="2">
        <f ca="1"/>
        <v>3</v>
      </c>
      <c r="L84" s="2">
        <f ca="1"/>
        <v>4</v>
      </c>
      <c r="M84" s="2">
        <f ca="1"/>
        <v>4</v>
      </c>
      <c r="N84" s="2">
        <f ca="1"/>
        <v>1</v>
      </c>
      <c r="O84" s="2">
        <f ca="1"/>
        <v>2</v>
      </c>
      <c r="P84" s="2">
        <f ca="1"/>
        <v>10</v>
      </c>
      <c r="Q84" s="2">
        <f ca="1"/>
        <v>13</v>
      </c>
      <c r="R84" s="2">
        <f ca="1"/>
        <v>10</v>
      </c>
      <c r="S84" s="2">
        <f ca="1"/>
        <v>2</v>
      </c>
      <c r="T84" s="2">
        <f ca="1"/>
        <v>0</v>
      </c>
      <c r="U84" s="2">
        <f ca="1"/>
        <v>3</v>
      </c>
      <c r="V84" s="2">
        <f ca="1"/>
        <v>3</v>
      </c>
      <c r="W84" s="2">
        <f ca="1"/>
        <v>3</v>
      </c>
      <c r="X84" s="2">
        <f ca="1"/>
        <v>3</v>
      </c>
      <c r="Y84" s="2">
        <f ca="1"/>
        <v>4</v>
      </c>
      <c r="Z84" s="2">
        <f ca="1"/>
        <v>1</v>
      </c>
      <c r="AB84" s="20">
        <f ca="1"/>
        <v>0.57999999999999996</v>
      </c>
      <c r="AC84" s="20">
        <f ca="1"/>
        <v>-0.94</v>
      </c>
      <c r="AD84" s="20">
        <f ca="1"/>
        <v>-0.78</v>
      </c>
      <c r="AE84" s="20">
        <f ca="1"/>
        <v>-0.04</v>
      </c>
      <c r="AF84" s="20">
        <f ca="1"/>
        <v>-0.23</v>
      </c>
      <c r="AG84" s="20">
        <f ca="1"/>
        <v>-0.73</v>
      </c>
      <c r="AH84" s="20">
        <f ca="1"/>
        <v>-0.66</v>
      </c>
      <c r="AI84" s="20">
        <f ca="1"/>
        <v>-0.79</v>
      </c>
      <c r="AJ84" s="20">
        <f ca="1"/>
        <v>-0.55000000000000004</v>
      </c>
      <c r="AK84" s="20">
        <f ca="1"/>
        <v>1.07</v>
      </c>
      <c r="AM84" s="20">
        <f ca="1"/>
        <v>1.3</v>
      </c>
      <c r="AO84" s="20">
        <f ca="1"/>
        <v>0.50617745701485362</v>
      </c>
      <c r="AP84" s="20">
        <v>1</v>
      </c>
      <c r="AS84" s="20">
        <f ca="1"/>
        <v>-0.49</v>
      </c>
      <c r="AU84" s="20">
        <f ca="1"/>
        <v>-0.05</v>
      </c>
      <c r="AV84" s="20">
        <f ca="1"/>
        <v>-0.04</v>
      </c>
      <c r="AW84" s="20">
        <f ca="1"/>
        <v>0.04</v>
      </c>
      <c r="AX84" s="20">
        <f ca="1"/>
        <v>0.03</v>
      </c>
      <c r="AY84" s="20">
        <f ca="1"/>
        <v>0.05</v>
      </c>
      <c r="AZ84" s="20">
        <f ca="1"/>
        <v>0.02</v>
      </c>
      <c r="BA84" s="20">
        <f ca="1"/>
        <v>-0.01</v>
      </c>
      <c r="BB84" s="20">
        <f ca="1"/>
        <v>-0.03</v>
      </c>
      <c r="BC84" s="20">
        <f ca="1"/>
        <v>-0.09</v>
      </c>
      <c r="BD84" s="20">
        <f ca="1"/>
        <v>0.12</v>
      </c>
    </row>
    <row r="85" spans="1:57" ht="17" customHeight="1" x14ac:dyDescent="0.2">
      <c r="F85" s="4">
        <v>21</v>
      </c>
      <c r="G85" s="2">
        <f ca="1"/>
        <v>1</v>
      </c>
      <c r="H85" s="2">
        <f ca="1"/>
        <v>4</v>
      </c>
      <c r="I85" s="2">
        <f ca="1"/>
        <v>3</v>
      </c>
      <c r="J85" s="2">
        <f ca="1"/>
        <v>3</v>
      </c>
      <c r="K85" s="2">
        <f ca="1"/>
        <v>3</v>
      </c>
      <c r="L85" s="2">
        <f ca="1"/>
        <v>3</v>
      </c>
      <c r="M85" s="2">
        <f ca="1"/>
        <v>3</v>
      </c>
      <c r="N85" s="2">
        <f ca="1"/>
        <v>3</v>
      </c>
      <c r="O85" s="2">
        <f ca="1"/>
        <v>3</v>
      </c>
      <c r="P85" s="2">
        <f ca="1"/>
        <v>2</v>
      </c>
      <c r="Q85" s="2">
        <f ca="1"/>
        <v>2</v>
      </c>
      <c r="R85" s="2">
        <f ca="1"/>
        <v>2</v>
      </c>
      <c r="S85" s="2">
        <f ca="1"/>
        <v>3</v>
      </c>
      <c r="T85" s="2">
        <f ca="1"/>
        <v>3</v>
      </c>
      <c r="U85" s="2">
        <f ca="1"/>
        <v>3</v>
      </c>
      <c r="V85" s="2">
        <f ca="1"/>
        <v>3</v>
      </c>
      <c r="W85" s="2">
        <f ca="1"/>
        <v>3</v>
      </c>
      <c r="X85" s="2">
        <f ca="1"/>
        <v>3</v>
      </c>
      <c r="Y85" s="2">
        <f ca="1"/>
        <v>4</v>
      </c>
      <c r="Z85" s="2">
        <f ca="1"/>
        <v>1</v>
      </c>
      <c r="AB85" s="20">
        <f ca="1"/>
        <v>-0.69</v>
      </c>
      <c r="AC85" s="20">
        <f ca="1"/>
        <v>0.08</v>
      </c>
      <c r="AD85" s="20">
        <f ca="1"/>
        <v>0.1</v>
      </c>
      <c r="AE85" s="20">
        <f ca="1"/>
        <v>-0.45</v>
      </c>
      <c r="AF85" s="20">
        <f ca="1"/>
        <v>0.46</v>
      </c>
      <c r="AG85" s="20">
        <f ca="1"/>
        <v>-0.18</v>
      </c>
      <c r="AH85" s="20">
        <f ca="1"/>
        <v>-0.73</v>
      </c>
      <c r="AI85" s="20">
        <f ca="1"/>
        <v>0.21</v>
      </c>
      <c r="AJ85" s="20">
        <f ca="1"/>
        <v>-0.02</v>
      </c>
      <c r="AK85" s="20">
        <f ca="1"/>
        <v>0.21</v>
      </c>
      <c r="AM85" s="20">
        <f ca="1"/>
        <v>0.55000000000000004</v>
      </c>
      <c r="AO85" s="20">
        <f ca="1"/>
        <v>0.23910130044531952</v>
      </c>
      <c r="AP85" s="20">
        <v>0</v>
      </c>
      <c r="AS85" s="20">
        <f ca="1"/>
        <v>0.24</v>
      </c>
      <c r="AU85" s="20">
        <f ca="1"/>
        <v>0.03</v>
      </c>
      <c r="AV85" s="20">
        <f ca="1"/>
        <v>0.02</v>
      </c>
      <c r="AW85" s="20">
        <f ca="1"/>
        <v>-0.02</v>
      </c>
      <c r="AX85" s="20">
        <f ca="1"/>
        <v>-0.01</v>
      </c>
      <c r="AY85" s="20">
        <f ca="1"/>
        <v>-0.02</v>
      </c>
      <c r="AZ85" s="20">
        <f ca="1"/>
        <v>-0.01</v>
      </c>
      <c r="BA85" s="20">
        <f ca="1"/>
        <v>0</v>
      </c>
      <c r="BB85" s="20">
        <f ca="1"/>
        <v>0.02</v>
      </c>
      <c r="BC85" s="20">
        <f ca="1"/>
        <v>0.04</v>
      </c>
      <c r="BD85" s="20">
        <f ca="1"/>
        <v>-0.06</v>
      </c>
    </row>
    <row r="86" spans="1:57" ht="17" customHeight="1" x14ac:dyDescent="0.2">
      <c r="F86" s="4">
        <v>22</v>
      </c>
      <c r="G86" s="2">
        <f ca="1"/>
        <v>1</v>
      </c>
      <c r="H86" s="2">
        <f ca="1"/>
        <v>4</v>
      </c>
      <c r="I86" s="2">
        <f ca="1"/>
        <v>4</v>
      </c>
      <c r="J86" s="2">
        <f ca="1"/>
        <v>3</v>
      </c>
      <c r="K86" s="2">
        <f ca="1"/>
        <v>3</v>
      </c>
      <c r="L86" s="2">
        <f ca="1"/>
        <v>3</v>
      </c>
      <c r="M86" s="2">
        <f ca="1"/>
        <v>3</v>
      </c>
      <c r="N86" s="2">
        <f ca="1"/>
        <v>3</v>
      </c>
      <c r="O86" s="2">
        <f ca="1"/>
        <v>3</v>
      </c>
      <c r="P86" s="2">
        <f ca="1"/>
        <v>3</v>
      </c>
      <c r="Q86" s="2">
        <f ca="1"/>
        <v>3</v>
      </c>
      <c r="R86" s="2">
        <f ca="1"/>
        <v>3</v>
      </c>
      <c r="S86" s="2">
        <f ca="1"/>
        <v>3</v>
      </c>
      <c r="T86" s="2">
        <f ca="1"/>
        <v>3</v>
      </c>
      <c r="U86" s="2">
        <f ca="1"/>
        <v>3</v>
      </c>
      <c r="V86" s="2">
        <f ca="1"/>
        <v>3</v>
      </c>
      <c r="W86" s="2">
        <f ca="1"/>
        <v>4</v>
      </c>
      <c r="X86" s="2">
        <f ca="1"/>
        <v>4</v>
      </c>
      <c r="Y86" s="2">
        <f ca="1"/>
        <v>3</v>
      </c>
      <c r="Z86" s="2">
        <f ca="1"/>
        <v>1</v>
      </c>
      <c r="AB86" s="20">
        <f ca="1"/>
        <v>-0.06</v>
      </c>
      <c r="AC86" s="20">
        <f ca="1"/>
        <v>-0.75</v>
      </c>
      <c r="AD86" s="20">
        <f ca="1"/>
        <v>-0.84</v>
      </c>
      <c r="AE86" s="20">
        <f ca="1"/>
        <v>0.78</v>
      </c>
      <c r="AF86" s="20">
        <f ca="1"/>
        <v>-0.41</v>
      </c>
      <c r="AG86" s="20">
        <f ca="1"/>
        <v>-0.06</v>
      </c>
      <c r="AH86" s="20">
        <f ca="1"/>
        <v>-0.79</v>
      </c>
      <c r="AI86" s="20">
        <f ca="1"/>
        <v>-0.17</v>
      </c>
      <c r="AJ86" s="20">
        <f ca="1"/>
        <v>0.12</v>
      </c>
      <c r="AK86" s="20">
        <f ca="1"/>
        <v>0.35</v>
      </c>
      <c r="AM86" s="20">
        <f ca="1"/>
        <v>0.35</v>
      </c>
      <c r="AO86" s="20">
        <f ca="1"/>
        <v>0.19575958777552124</v>
      </c>
      <c r="AP86" s="20">
        <v>0</v>
      </c>
      <c r="AS86" s="20">
        <f ca="1"/>
        <v>0.2</v>
      </c>
      <c r="AU86" s="20">
        <f ca="1"/>
        <v>0.02</v>
      </c>
      <c r="AV86" s="20">
        <f ca="1"/>
        <v>0.02</v>
      </c>
      <c r="AW86" s="20">
        <f ca="1"/>
        <v>-0.02</v>
      </c>
      <c r="AX86" s="20">
        <f ca="1"/>
        <v>-0.01</v>
      </c>
      <c r="AY86" s="20">
        <f ca="1"/>
        <v>-0.02</v>
      </c>
      <c r="AZ86" s="20">
        <f ca="1"/>
        <v>-0.01</v>
      </c>
      <c r="BA86" s="20">
        <f ca="1"/>
        <v>0</v>
      </c>
      <c r="BB86" s="20">
        <f ca="1"/>
        <v>0.01</v>
      </c>
      <c r="BC86" s="20">
        <f ca="1"/>
        <v>0.04</v>
      </c>
      <c r="BD86" s="20">
        <f ca="1"/>
        <v>-0.05</v>
      </c>
    </row>
    <row r="87" spans="1:57" ht="17" customHeight="1" x14ac:dyDescent="0.2">
      <c r="F87" s="4">
        <v>23</v>
      </c>
      <c r="G87" s="2">
        <f ca="1"/>
        <v>0</v>
      </c>
      <c r="H87" s="2">
        <f ca="1"/>
        <v>4</v>
      </c>
      <c r="I87" s="2">
        <f ca="1"/>
        <v>4</v>
      </c>
      <c r="J87" s="2">
        <f ca="1"/>
        <v>4</v>
      </c>
      <c r="K87" s="2">
        <f ca="1"/>
        <v>4</v>
      </c>
      <c r="L87" s="2">
        <f ca="1"/>
        <v>4</v>
      </c>
      <c r="M87" s="2">
        <f ca="1"/>
        <v>3</v>
      </c>
      <c r="N87" s="2">
        <f ca="1"/>
        <v>4</v>
      </c>
      <c r="O87" s="2">
        <f ca="1"/>
        <v>4</v>
      </c>
      <c r="P87" s="2">
        <f ca="1"/>
        <v>3</v>
      </c>
      <c r="Q87" s="2">
        <f ca="1"/>
        <v>3</v>
      </c>
      <c r="R87" s="2">
        <f ca="1"/>
        <v>4</v>
      </c>
      <c r="S87" s="2">
        <f ca="1"/>
        <v>3</v>
      </c>
      <c r="T87" s="2">
        <f ca="1"/>
        <v>3</v>
      </c>
      <c r="U87" s="2">
        <f ca="1"/>
        <v>4</v>
      </c>
      <c r="V87" s="2">
        <f ca="1"/>
        <v>3</v>
      </c>
      <c r="W87" s="2">
        <f ca="1"/>
        <v>4</v>
      </c>
      <c r="X87" s="2">
        <f ca="1"/>
        <v>4</v>
      </c>
      <c r="Y87" s="2">
        <f ca="1"/>
        <v>4</v>
      </c>
      <c r="Z87" s="2">
        <f ca="1"/>
        <v>1</v>
      </c>
    </row>
    <row r="88" spans="1:57" ht="17" customHeight="1" x14ac:dyDescent="0.2">
      <c r="F88" s="4">
        <v>24</v>
      </c>
      <c r="G88" s="2">
        <f ca="1"/>
        <v>0</v>
      </c>
      <c r="H88" s="2">
        <f ca="1"/>
        <v>1</v>
      </c>
      <c r="I88" s="2">
        <f ca="1"/>
        <v>1</v>
      </c>
      <c r="J88" s="2">
        <f ca="1"/>
        <v>2</v>
      </c>
      <c r="K88" s="2">
        <f ca="1"/>
        <v>2</v>
      </c>
      <c r="L88" s="2">
        <f ca="1"/>
        <v>2</v>
      </c>
      <c r="M88" s="2">
        <f ca="1"/>
        <v>2</v>
      </c>
      <c r="N88" s="2">
        <f ca="1"/>
        <v>2</v>
      </c>
      <c r="O88" s="2">
        <f ca="1"/>
        <v>2</v>
      </c>
      <c r="P88" s="2">
        <f ca="1"/>
        <v>2</v>
      </c>
      <c r="Q88" s="2">
        <f ca="1"/>
        <v>2</v>
      </c>
      <c r="R88" s="2">
        <f ca="1"/>
        <v>2</v>
      </c>
      <c r="S88" s="2">
        <f ca="1"/>
        <v>2</v>
      </c>
      <c r="T88" s="2">
        <f ca="1"/>
        <v>2</v>
      </c>
      <c r="U88" s="2">
        <f ca="1"/>
        <v>2</v>
      </c>
      <c r="V88" s="2">
        <f ca="1"/>
        <v>2</v>
      </c>
      <c r="W88" s="2">
        <f ca="1"/>
        <v>2</v>
      </c>
      <c r="X88" s="2">
        <f ca="1"/>
        <v>2</v>
      </c>
      <c r="Y88" s="2">
        <f ca="1"/>
        <v>1</v>
      </c>
      <c r="Z88" s="2">
        <f ca="1"/>
        <v>0</v>
      </c>
    </row>
    <row r="90" spans="1:57" s="52" customFormat="1" ht="17" customHeight="1" x14ac:dyDescent="0.2">
      <c r="A90" s="103"/>
      <c r="B90" s="103"/>
      <c r="C90" s="111" t="s">
        <v>70</v>
      </c>
      <c r="D90" s="111">
        <v>4</v>
      </c>
      <c r="E90" s="111"/>
      <c r="F90" s="111"/>
      <c r="G90" s="112" t="str" cm="1">
        <f t="array" ref="G90:H90">C90:D90</f>
        <v>Epoch</v>
      </c>
      <c r="H90" s="111">
        <v>4</v>
      </c>
      <c r="I90" s="111"/>
      <c r="J90" s="112"/>
      <c r="K90" s="111" t="str" cm="1">
        <f t="array" ref="K90:L90">_xlfn.ANCHORARRAY(G90)</f>
        <v>Epoch</v>
      </c>
      <c r="L90" s="111">
        <v>4</v>
      </c>
      <c r="M90" s="112"/>
      <c r="N90" s="111"/>
      <c r="O90" s="111" t="str" cm="1">
        <f t="array" ref="O90:P90">_xlfn.ANCHORARRAY(K90)</f>
        <v>Epoch</v>
      </c>
      <c r="P90" s="112">
        <v>4</v>
      </c>
      <c r="Q90" s="111"/>
      <c r="R90" s="111"/>
      <c r="S90" s="112" t="str" cm="1">
        <f t="array" ref="S90:T90">_xlfn.ANCHORARRAY(O90)</f>
        <v>Epoch</v>
      </c>
      <c r="T90" s="111">
        <v>4</v>
      </c>
      <c r="U90" s="111"/>
      <c r="V90" s="112"/>
      <c r="W90" s="111" t="str" cm="1">
        <f t="array" ref="W90:X90">_xlfn.ANCHORARRAY(S90)</f>
        <v>Epoch</v>
      </c>
      <c r="X90" s="111">
        <v>4</v>
      </c>
      <c r="Y90" s="112"/>
      <c r="Z90" s="111"/>
      <c r="AA90" s="111" t="str" cm="1">
        <f t="array" ref="AA90:AB90">_xlfn.ANCHORARRAY(W90)</f>
        <v>Epoch</v>
      </c>
      <c r="AB90" s="112">
        <v>4</v>
      </c>
      <c r="AC90" s="111"/>
      <c r="AD90" s="111"/>
      <c r="AE90" s="112" t="str" cm="1">
        <f t="array" ref="AE90:AF90">_xlfn.ANCHORARRAY(AA90)</f>
        <v>Epoch</v>
      </c>
      <c r="AF90" s="111">
        <v>4</v>
      </c>
      <c r="AG90" s="111"/>
      <c r="AH90" s="112"/>
      <c r="AI90" s="111" t="str" cm="1">
        <f t="array" ref="AI90:AJ90">_xlfn.ANCHORARRAY(AE90)</f>
        <v>Epoch</v>
      </c>
      <c r="AJ90" s="111">
        <v>4</v>
      </c>
      <c r="AK90" s="111"/>
      <c r="AL90" s="111"/>
      <c r="AM90" s="111" t="str" cm="1">
        <f t="array" ref="AM90:AN90">_xlfn.ANCHORARRAY(AI90)</f>
        <v>Epoch</v>
      </c>
      <c r="AN90" s="112">
        <v>4</v>
      </c>
      <c r="AO90" s="111"/>
      <c r="AP90" s="111"/>
      <c r="AQ90" s="112" t="str" cm="1">
        <f t="array" ref="AQ90:AR90">_xlfn.ANCHORARRAY(AM90)</f>
        <v>Epoch</v>
      </c>
      <c r="AR90" s="111">
        <v>4</v>
      </c>
      <c r="AS90" s="111"/>
      <c r="AT90" s="111"/>
      <c r="AU90" s="111" t="str" cm="1">
        <f t="array" ref="AU90:AV90">_xlfn.ANCHORARRAY(AQ90)</f>
        <v>Epoch</v>
      </c>
      <c r="AV90" s="111">
        <v>4</v>
      </c>
      <c r="AW90" s="112"/>
      <c r="AX90" s="111"/>
      <c r="AY90" s="111" t="str" cm="1">
        <f t="array" ref="AY90:AZ90">_xlfn.ANCHORARRAY(AU90)</f>
        <v>Epoch</v>
      </c>
      <c r="AZ90" s="112">
        <v>4</v>
      </c>
      <c r="BA90" s="111"/>
      <c r="BB90" s="111"/>
      <c r="BC90" s="111"/>
      <c r="BD90" s="111"/>
      <c r="BE90" s="111"/>
    </row>
    <row r="92" spans="1:57" ht="17" customHeight="1" x14ac:dyDescent="0.2">
      <c r="C92" s="52"/>
      <c r="G92" s="2">
        <v>1</v>
      </c>
      <c r="H92" s="2">
        <v>2</v>
      </c>
      <c r="I92" s="2">
        <v>3</v>
      </c>
      <c r="J92" s="2">
        <v>4</v>
      </c>
      <c r="K92" s="2">
        <v>5</v>
      </c>
      <c r="L92" s="2">
        <v>6</v>
      </c>
      <c r="M92" s="2">
        <v>7</v>
      </c>
      <c r="N92" s="2">
        <v>8</v>
      </c>
      <c r="O92" s="2">
        <v>9</v>
      </c>
      <c r="P92" s="2">
        <v>10</v>
      </c>
      <c r="Q92" s="2">
        <v>11</v>
      </c>
      <c r="R92" s="2">
        <v>12</v>
      </c>
      <c r="S92" s="2">
        <v>13</v>
      </c>
      <c r="T92" s="2">
        <v>14</v>
      </c>
      <c r="U92" s="2">
        <v>15</v>
      </c>
      <c r="V92" s="2">
        <v>16</v>
      </c>
      <c r="W92" s="2">
        <v>17</v>
      </c>
      <c r="X92" s="2">
        <v>18</v>
      </c>
      <c r="Y92" s="2">
        <v>19</v>
      </c>
      <c r="Z92" s="2">
        <v>20</v>
      </c>
    </row>
    <row r="93" spans="1:57" ht="17" customHeight="1" x14ac:dyDescent="0.2">
      <c r="F93" s="4">
        <v>1</v>
      </c>
      <c r="G93" s="2" cm="1">
        <f t="array" aca="1" ref="G93:Z116" ca="1">OFFSET('Dataset-Tumor'!D5, 24*(E94-1), 20*(E95-1), 24, 20)</f>
        <v>0</v>
      </c>
      <c r="H93" s="2">
        <f ca="1"/>
        <v>0</v>
      </c>
      <c r="I93" s="2">
        <f ca="1"/>
        <v>0</v>
      </c>
      <c r="J93" s="2">
        <f ca="1"/>
        <v>0</v>
      </c>
      <c r="K93" s="2">
        <f ca="1"/>
        <v>0</v>
      </c>
      <c r="L93" s="2">
        <f ca="1"/>
        <v>0</v>
      </c>
      <c r="M93" s="2">
        <f ca="1"/>
        <v>0</v>
      </c>
      <c r="N93" s="2">
        <f ca="1"/>
        <v>0</v>
      </c>
      <c r="O93" s="2">
        <f ca="1"/>
        <v>0</v>
      </c>
      <c r="P93" s="2">
        <f ca="1"/>
        <v>0</v>
      </c>
      <c r="Q93" s="2">
        <f ca="1"/>
        <v>0</v>
      </c>
      <c r="R93" s="2">
        <f ca="1"/>
        <v>0</v>
      </c>
      <c r="S93" s="2">
        <f ca="1"/>
        <v>0</v>
      </c>
      <c r="T93" s="2">
        <f ca="1"/>
        <v>0</v>
      </c>
      <c r="U93" s="2">
        <f ca="1"/>
        <v>0</v>
      </c>
      <c r="V93" s="2">
        <f ca="1"/>
        <v>0</v>
      </c>
      <c r="W93" s="2">
        <f ca="1"/>
        <v>0</v>
      </c>
      <c r="X93" s="2">
        <f ca="1"/>
        <v>0</v>
      </c>
      <c r="Y93" s="2">
        <f ca="1"/>
        <v>0</v>
      </c>
      <c r="Z93" s="2">
        <f ca="1"/>
        <v>0</v>
      </c>
    </row>
    <row r="94" spans="1:57" ht="17" customHeight="1" x14ac:dyDescent="0.2">
      <c r="D94" s="16" t="s">
        <v>25</v>
      </c>
      <c r="E94" s="49">
        <v>2</v>
      </c>
      <c r="F94" s="4">
        <v>2</v>
      </c>
      <c r="G94" s="2">
        <f ca="1"/>
        <v>0</v>
      </c>
      <c r="H94" s="2">
        <f ca="1"/>
        <v>1</v>
      </c>
      <c r="I94" s="2">
        <f ca="1"/>
        <v>2</v>
      </c>
      <c r="J94" s="2">
        <f ca="1"/>
        <v>2</v>
      </c>
      <c r="K94" s="2">
        <f ca="1"/>
        <v>2</v>
      </c>
      <c r="L94" s="2">
        <f ca="1"/>
        <v>2</v>
      </c>
      <c r="M94" s="2">
        <f ca="1"/>
        <v>2</v>
      </c>
      <c r="N94" s="2">
        <f ca="1"/>
        <v>2</v>
      </c>
      <c r="O94" s="2">
        <f ca="1"/>
        <v>2</v>
      </c>
      <c r="P94" s="2">
        <f ca="1"/>
        <v>2</v>
      </c>
      <c r="Q94" s="2">
        <f ca="1"/>
        <v>2</v>
      </c>
      <c r="R94" s="2">
        <f ca="1"/>
        <v>2</v>
      </c>
      <c r="S94" s="2">
        <f ca="1"/>
        <v>2</v>
      </c>
      <c r="T94" s="2">
        <f ca="1"/>
        <v>2</v>
      </c>
      <c r="U94" s="2">
        <f ca="1"/>
        <v>2</v>
      </c>
      <c r="V94" s="2">
        <f ca="1"/>
        <v>2</v>
      </c>
      <c r="W94" s="2">
        <f ca="1"/>
        <v>2</v>
      </c>
      <c r="X94" s="2">
        <f ca="1"/>
        <v>2</v>
      </c>
      <c r="Y94" s="2">
        <f ca="1"/>
        <v>2</v>
      </c>
      <c r="Z94" s="2">
        <f ca="1"/>
        <v>0</v>
      </c>
    </row>
    <row r="95" spans="1:57" ht="17" customHeight="1" x14ac:dyDescent="0.2">
      <c r="D95" s="16" t="s">
        <v>21</v>
      </c>
      <c r="E95" s="49">
        <v>4</v>
      </c>
      <c r="F95" s="4">
        <v>3</v>
      </c>
      <c r="G95" s="2">
        <f ca="1"/>
        <v>0</v>
      </c>
      <c r="H95" s="2">
        <f ca="1"/>
        <v>2</v>
      </c>
      <c r="I95" s="2">
        <f ca="1"/>
        <v>2</v>
      </c>
      <c r="J95" s="2">
        <f ca="1"/>
        <v>2</v>
      </c>
      <c r="K95" s="2">
        <f ca="1"/>
        <v>2</v>
      </c>
      <c r="L95" s="2">
        <f ca="1"/>
        <v>2</v>
      </c>
      <c r="M95" s="2">
        <f ca="1"/>
        <v>2</v>
      </c>
      <c r="N95" s="2">
        <f ca="1"/>
        <v>2</v>
      </c>
      <c r="O95" s="2">
        <f ca="1"/>
        <v>2</v>
      </c>
      <c r="P95" s="2">
        <f ca="1"/>
        <v>0</v>
      </c>
      <c r="Q95" s="2">
        <f ca="1"/>
        <v>0</v>
      </c>
      <c r="R95" s="2">
        <f ca="1"/>
        <v>1</v>
      </c>
      <c r="S95" s="2">
        <f ca="1"/>
        <v>2</v>
      </c>
      <c r="T95" s="2">
        <f ca="1"/>
        <v>2</v>
      </c>
      <c r="U95" s="2">
        <f ca="1"/>
        <v>2</v>
      </c>
      <c r="V95" s="2">
        <f ca="1"/>
        <v>2</v>
      </c>
      <c r="W95" s="2">
        <f ca="1"/>
        <v>2</v>
      </c>
      <c r="X95" s="2">
        <f ca="1"/>
        <v>2</v>
      </c>
      <c r="Y95" s="2">
        <f ca="1"/>
        <v>2</v>
      </c>
      <c r="Z95" s="2">
        <f ca="1"/>
        <v>0</v>
      </c>
    </row>
    <row r="96" spans="1:57" ht="17" customHeight="1" x14ac:dyDescent="0.2">
      <c r="F96" s="4">
        <v>4</v>
      </c>
      <c r="G96" s="2">
        <f ca="1"/>
        <v>0</v>
      </c>
      <c r="H96" s="2">
        <f ca="1"/>
        <v>2</v>
      </c>
      <c r="I96" s="2">
        <f ca="1"/>
        <v>2</v>
      </c>
      <c r="J96" s="2">
        <f ca="1"/>
        <v>2</v>
      </c>
      <c r="K96" s="2">
        <f ca="1"/>
        <v>3</v>
      </c>
      <c r="L96" s="2">
        <f ca="1"/>
        <v>3</v>
      </c>
      <c r="M96" s="2">
        <f ca="1"/>
        <v>0</v>
      </c>
      <c r="N96" s="2">
        <f ca="1"/>
        <v>0</v>
      </c>
      <c r="O96" s="2">
        <f ca="1"/>
        <v>10</v>
      </c>
      <c r="P96" s="2">
        <f ca="1"/>
        <v>29</v>
      </c>
      <c r="Q96" s="2">
        <f ca="1"/>
        <v>33</v>
      </c>
      <c r="R96" s="2">
        <f ca="1"/>
        <v>17</v>
      </c>
      <c r="S96" s="2">
        <f ca="1"/>
        <v>0</v>
      </c>
      <c r="T96" s="2">
        <f ca="1"/>
        <v>0</v>
      </c>
      <c r="U96" s="2">
        <f ca="1"/>
        <v>3</v>
      </c>
      <c r="V96" s="2">
        <f ca="1"/>
        <v>2</v>
      </c>
      <c r="W96" s="2">
        <f ca="1"/>
        <v>2</v>
      </c>
      <c r="X96" s="2">
        <f ca="1"/>
        <v>2</v>
      </c>
      <c r="Y96" s="2">
        <f ca="1"/>
        <v>2</v>
      </c>
      <c r="Z96" s="2">
        <f ca="1"/>
        <v>0</v>
      </c>
    </row>
    <row r="97" spans="4:56" ht="17" customHeight="1" x14ac:dyDescent="0.2">
      <c r="E97" s="4" t="s">
        <v>16</v>
      </c>
      <c r="F97" s="4">
        <v>5</v>
      </c>
      <c r="G97" s="2">
        <f ca="1"/>
        <v>0</v>
      </c>
      <c r="H97" s="2">
        <f ca="1"/>
        <v>2</v>
      </c>
      <c r="I97" s="2">
        <f ca="1"/>
        <v>3</v>
      </c>
      <c r="J97" s="2">
        <f ca="1"/>
        <v>3</v>
      </c>
      <c r="K97" s="2">
        <f ca="1"/>
        <v>3</v>
      </c>
      <c r="L97" s="2">
        <f ca="1"/>
        <v>0</v>
      </c>
      <c r="M97" s="2">
        <f ca="1"/>
        <v>24</v>
      </c>
      <c r="N97" s="2">
        <f ca="1"/>
        <v>85</v>
      </c>
      <c r="O97" s="2">
        <f ca="1"/>
        <v>116</v>
      </c>
      <c r="P97" s="2">
        <f ca="1"/>
        <v>118</v>
      </c>
      <c r="Q97" s="2">
        <f ca="1"/>
        <v>122</v>
      </c>
      <c r="R97" s="2">
        <f ca="1"/>
        <v>125</v>
      </c>
      <c r="S97" s="2">
        <f ca="1"/>
        <v>95</v>
      </c>
      <c r="T97" s="2">
        <f ca="1"/>
        <v>27</v>
      </c>
      <c r="U97" s="2">
        <f ca="1"/>
        <v>0</v>
      </c>
      <c r="V97" s="2">
        <f ca="1"/>
        <v>3</v>
      </c>
      <c r="W97" s="2">
        <f ca="1"/>
        <v>2</v>
      </c>
      <c r="X97" s="2">
        <f ca="1"/>
        <v>3</v>
      </c>
      <c r="Y97" s="2">
        <f ca="1"/>
        <v>2</v>
      </c>
      <c r="Z97" s="2">
        <f ca="1"/>
        <v>0</v>
      </c>
    </row>
    <row r="98" spans="4:56" ht="17" customHeight="1" x14ac:dyDescent="0.2">
      <c r="D98" s="16" t="s">
        <v>20</v>
      </c>
      <c r="E98" s="35" cm="1">
        <f t="array" ref="E98:E101">TRANSPOSE(IF(_xlfn.SEQUENCE(1, COUNT([0]!Classes),1,1)=E94,1,0))</f>
        <v>0</v>
      </c>
      <c r="F98" s="4">
        <v>6</v>
      </c>
      <c r="G98" s="2">
        <f ca="1"/>
        <v>0</v>
      </c>
      <c r="H98" s="2">
        <f ca="1"/>
        <v>2</v>
      </c>
      <c r="I98" s="2">
        <f ca="1"/>
        <v>3</v>
      </c>
      <c r="J98" s="2">
        <f ca="1"/>
        <v>3</v>
      </c>
      <c r="K98" s="2">
        <f ca="1"/>
        <v>0</v>
      </c>
      <c r="L98" s="2">
        <f ca="1"/>
        <v>52</v>
      </c>
      <c r="M98" s="2">
        <f ca="1"/>
        <v>125</v>
      </c>
      <c r="N98" s="2">
        <f ca="1"/>
        <v>109</v>
      </c>
      <c r="O98" s="2">
        <f ca="1"/>
        <v>73</v>
      </c>
      <c r="P98" s="2">
        <f ca="1"/>
        <v>60</v>
      </c>
      <c r="Q98" s="2">
        <f ca="1"/>
        <v>65</v>
      </c>
      <c r="R98" s="2">
        <f ca="1"/>
        <v>67</v>
      </c>
      <c r="S98" s="2">
        <f ca="1"/>
        <v>88</v>
      </c>
      <c r="T98" s="2">
        <f ca="1"/>
        <v>121</v>
      </c>
      <c r="U98" s="2">
        <f ca="1"/>
        <v>56</v>
      </c>
      <c r="V98" s="2">
        <f ca="1"/>
        <v>0</v>
      </c>
      <c r="W98" s="2">
        <f ca="1"/>
        <v>2</v>
      </c>
      <c r="X98" s="2">
        <f ca="1"/>
        <v>3</v>
      </c>
      <c r="Y98" s="2">
        <f ca="1"/>
        <v>2</v>
      </c>
      <c r="Z98" s="2">
        <f ca="1"/>
        <v>0</v>
      </c>
    </row>
    <row r="99" spans="4:56" ht="17" customHeight="1" x14ac:dyDescent="0.2">
      <c r="D99" s="16" t="s">
        <v>8</v>
      </c>
      <c r="E99" s="35">
        <v>1</v>
      </c>
      <c r="F99" s="4">
        <v>7</v>
      </c>
      <c r="G99" s="2">
        <f ca="1"/>
        <v>0</v>
      </c>
      <c r="H99" s="2">
        <f ca="1"/>
        <v>3</v>
      </c>
      <c r="I99" s="2">
        <f ca="1"/>
        <v>3</v>
      </c>
      <c r="J99" s="2">
        <f ca="1"/>
        <v>0</v>
      </c>
      <c r="K99" s="2">
        <f ca="1"/>
        <v>44</v>
      </c>
      <c r="L99" s="2">
        <f ca="1"/>
        <v>109</v>
      </c>
      <c r="M99" s="2">
        <f ca="1"/>
        <v>78</v>
      </c>
      <c r="N99" s="2">
        <f ca="1"/>
        <v>66</v>
      </c>
      <c r="O99" s="2">
        <f ca="1"/>
        <v>67</v>
      </c>
      <c r="P99" s="2">
        <f ca="1"/>
        <v>74</v>
      </c>
      <c r="Q99" s="2">
        <f ca="1"/>
        <v>72</v>
      </c>
      <c r="R99" s="2">
        <f ca="1"/>
        <v>68</v>
      </c>
      <c r="S99" s="2">
        <f ca="1"/>
        <v>55</v>
      </c>
      <c r="T99" s="2">
        <f ca="1"/>
        <v>70</v>
      </c>
      <c r="U99" s="2">
        <f ca="1"/>
        <v>107</v>
      </c>
      <c r="V99" s="2">
        <f ca="1"/>
        <v>59</v>
      </c>
      <c r="W99" s="2">
        <f ca="1"/>
        <v>1</v>
      </c>
      <c r="X99" s="2">
        <f ca="1"/>
        <v>3</v>
      </c>
      <c r="Y99" s="2">
        <f ca="1"/>
        <v>3</v>
      </c>
      <c r="Z99" s="2">
        <f ca="1"/>
        <v>0</v>
      </c>
    </row>
    <row r="100" spans="4:56" ht="17" customHeight="1" x14ac:dyDescent="0.2">
      <c r="D100" s="16" t="s">
        <v>9</v>
      </c>
      <c r="E100" s="35">
        <v>0</v>
      </c>
      <c r="F100" s="4">
        <v>8</v>
      </c>
      <c r="G100" s="2">
        <f ca="1"/>
        <v>1</v>
      </c>
      <c r="H100" s="2">
        <f ca="1"/>
        <v>3</v>
      </c>
      <c r="I100" s="2">
        <f ca="1"/>
        <v>2</v>
      </c>
      <c r="J100" s="2">
        <f ca="1"/>
        <v>14</v>
      </c>
      <c r="K100" s="2">
        <f ca="1"/>
        <v>105</v>
      </c>
      <c r="L100" s="2">
        <f ca="1"/>
        <v>79</v>
      </c>
      <c r="M100" s="2">
        <f ca="1"/>
        <v>71</v>
      </c>
      <c r="N100" s="2">
        <f ca="1"/>
        <v>77</v>
      </c>
      <c r="O100" s="2">
        <f ca="1"/>
        <v>84</v>
      </c>
      <c r="P100" s="2">
        <f ca="1"/>
        <v>78</v>
      </c>
      <c r="Q100" s="2">
        <f ca="1"/>
        <v>74</v>
      </c>
      <c r="R100" s="2">
        <f ca="1"/>
        <v>70</v>
      </c>
      <c r="S100" s="2">
        <f ca="1"/>
        <v>83</v>
      </c>
      <c r="T100" s="2">
        <f ca="1"/>
        <v>98</v>
      </c>
      <c r="U100" s="2">
        <f ca="1"/>
        <v>70</v>
      </c>
      <c r="V100" s="2">
        <f ca="1"/>
        <v>83</v>
      </c>
      <c r="W100" s="2">
        <f ca="1"/>
        <v>34</v>
      </c>
      <c r="X100" s="2">
        <f ca="1"/>
        <v>0</v>
      </c>
      <c r="Y100" s="2">
        <f ca="1"/>
        <v>3</v>
      </c>
      <c r="Z100" s="2">
        <f ca="1"/>
        <v>1</v>
      </c>
      <c r="AE100" s="2" t="s">
        <v>4</v>
      </c>
      <c r="AI100" s="2" t="s">
        <v>7</v>
      </c>
      <c r="AM100" s="2" t="s">
        <v>6</v>
      </c>
    </row>
    <row r="101" spans="4:56" ht="17" customHeight="1" x14ac:dyDescent="0.2">
      <c r="D101" s="16" t="s">
        <v>10</v>
      </c>
      <c r="E101" s="35">
        <v>0</v>
      </c>
      <c r="F101" s="4">
        <v>9</v>
      </c>
      <c r="G101" s="2">
        <f ca="1"/>
        <v>1</v>
      </c>
      <c r="H101" s="2">
        <f ca="1"/>
        <v>3</v>
      </c>
      <c r="I101" s="2">
        <f ca="1"/>
        <v>0</v>
      </c>
      <c r="J101" s="2">
        <f ca="1"/>
        <v>68</v>
      </c>
      <c r="K101" s="2">
        <f ca="1"/>
        <v>94</v>
      </c>
      <c r="L101" s="2">
        <f ca="1"/>
        <v>66</v>
      </c>
      <c r="M101" s="2">
        <f ca="1"/>
        <v>77</v>
      </c>
      <c r="N101" s="2">
        <f ca="1"/>
        <v>86</v>
      </c>
      <c r="O101" s="2">
        <f ca="1"/>
        <v>86</v>
      </c>
      <c r="P101" s="2">
        <f ca="1"/>
        <v>72</v>
      </c>
      <c r="Q101" s="2">
        <f ca="1"/>
        <v>77</v>
      </c>
      <c r="R101" s="2">
        <f ca="1"/>
        <v>103</v>
      </c>
      <c r="S101" s="2">
        <f ca="1"/>
        <v>105</v>
      </c>
      <c r="T101" s="2">
        <f ca="1"/>
        <v>96</v>
      </c>
      <c r="U101" s="2">
        <f ca="1"/>
        <v>96</v>
      </c>
      <c r="V101" s="2">
        <f ca="1"/>
        <v>67</v>
      </c>
      <c r="W101" s="2">
        <f ca="1"/>
        <v>71</v>
      </c>
      <c r="X101" s="2">
        <f ca="1"/>
        <v>4</v>
      </c>
      <c r="Y101" s="2">
        <f ca="1"/>
        <v>3</v>
      </c>
      <c r="Z101" s="2">
        <f ca="1"/>
        <v>1</v>
      </c>
      <c r="AE101" s="21" cm="1">
        <f t="array" aca="1" ref="AE101:AG103" ca="1">OFFSET(G93,$AE$10-1,$AE$11-1,3,3)</f>
        <v>85</v>
      </c>
      <c r="AF101" s="21">
        <f ca="1"/>
        <v>81</v>
      </c>
      <c r="AG101" s="21">
        <f ca="1"/>
        <v>83</v>
      </c>
      <c r="AH101" s="36"/>
      <c r="AI101" s="21" cm="1">
        <f t="array" aca="1" ref="AI101:AK103" ca="1">ROUND((_xlfn.ANCHORARRAY(AE101)-127.5)/127.5,2)</f>
        <v>-0.33</v>
      </c>
      <c r="AJ101" s="21">
        <f ca="1"/>
        <v>-0.36</v>
      </c>
      <c r="AK101" s="21">
        <f ca="1"/>
        <v>-0.35</v>
      </c>
      <c r="AL101" s="36"/>
      <c r="AM101" s="21" cm="1">
        <f t="array" aca="1" ref="AM101:AM109" ca="1">ROUND(_xlfn.TOCOL(_xlfn.ANCHORARRAY(AI101)),2)</f>
        <v>-0.33</v>
      </c>
    </row>
    <row r="102" spans="4:56" ht="17" customHeight="1" x14ac:dyDescent="0.2">
      <c r="F102" s="4">
        <v>10</v>
      </c>
      <c r="G102" s="2">
        <f ca="1"/>
        <v>1</v>
      </c>
      <c r="H102" s="2">
        <f ca="1"/>
        <v>2</v>
      </c>
      <c r="I102" s="2">
        <f ca="1"/>
        <v>11</v>
      </c>
      <c r="J102" s="2">
        <f ca="1"/>
        <v>107</v>
      </c>
      <c r="K102" s="2">
        <f ca="1"/>
        <v>72</v>
      </c>
      <c r="L102" s="2">
        <f ca="1"/>
        <v>81</v>
      </c>
      <c r="M102" s="2">
        <f ca="1"/>
        <v>84</v>
      </c>
      <c r="N102" s="2">
        <f ca="1"/>
        <v>87</v>
      </c>
      <c r="O102" s="2">
        <f ca="1"/>
        <v>89</v>
      </c>
      <c r="P102" s="2">
        <f ca="1"/>
        <v>75</v>
      </c>
      <c r="Q102" s="2">
        <f ca="1"/>
        <v>82</v>
      </c>
      <c r="R102" s="2">
        <f ca="1"/>
        <v>115</v>
      </c>
      <c r="S102" s="2">
        <f ca="1"/>
        <v>95</v>
      </c>
      <c r="T102" s="2">
        <f ca="1"/>
        <v>94</v>
      </c>
      <c r="U102" s="2">
        <f ca="1"/>
        <v>97</v>
      </c>
      <c r="V102" s="2">
        <f ca="1"/>
        <v>73</v>
      </c>
      <c r="W102" s="2">
        <f ca="1"/>
        <v>87</v>
      </c>
      <c r="X102" s="2">
        <f ca="1"/>
        <v>27</v>
      </c>
      <c r="Y102" s="2">
        <f ca="1"/>
        <v>1</v>
      </c>
      <c r="Z102" s="2">
        <f ca="1"/>
        <v>1</v>
      </c>
      <c r="AE102" s="21">
        <f ca="1"/>
        <v>84</v>
      </c>
      <c r="AF102" s="21">
        <f ca="1"/>
        <v>78</v>
      </c>
      <c r="AG102" s="21">
        <f ca="1"/>
        <v>76</v>
      </c>
      <c r="AH102" s="36"/>
      <c r="AI102" s="21">
        <f ca="1"/>
        <v>-0.34</v>
      </c>
      <c r="AJ102" s="21">
        <f ca="1"/>
        <v>-0.39</v>
      </c>
      <c r="AK102" s="21">
        <f ca="1"/>
        <v>-0.4</v>
      </c>
      <c r="AL102" s="36"/>
      <c r="AM102" s="21">
        <f ca="1"/>
        <v>-0.36</v>
      </c>
    </row>
    <row r="103" spans="4:56" ht="17" customHeight="1" x14ac:dyDescent="0.2">
      <c r="F103" s="4">
        <v>11</v>
      </c>
      <c r="G103" s="2">
        <f ca="1"/>
        <v>1</v>
      </c>
      <c r="H103" s="2">
        <f ca="1"/>
        <v>0</v>
      </c>
      <c r="I103" s="2">
        <f ca="1"/>
        <v>37</v>
      </c>
      <c r="J103" s="2">
        <f ca="1"/>
        <v>97</v>
      </c>
      <c r="K103" s="2">
        <f ca="1"/>
        <v>72</v>
      </c>
      <c r="L103" s="2">
        <f ca="1"/>
        <v>81</v>
      </c>
      <c r="M103" s="2">
        <f ca="1"/>
        <v>89</v>
      </c>
      <c r="N103" s="2">
        <f ca="1"/>
        <v>91</v>
      </c>
      <c r="O103" s="2">
        <f ca="1"/>
        <v>85</v>
      </c>
      <c r="P103" s="2">
        <f ca="1"/>
        <v>76</v>
      </c>
      <c r="Q103" s="2">
        <f ca="1"/>
        <v>86</v>
      </c>
      <c r="R103" s="2">
        <f ca="1"/>
        <v>114</v>
      </c>
      <c r="S103" s="2">
        <f ca="1"/>
        <v>92</v>
      </c>
      <c r="T103" s="2">
        <f ca="1"/>
        <v>92</v>
      </c>
      <c r="U103" s="2">
        <f ca="1"/>
        <v>94</v>
      </c>
      <c r="V103" s="2">
        <f ca="1"/>
        <v>91</v>
      </c>
      <c r="W103" s="2">
        <f ca="1"/>
        <v>85</v>
      </c>
      <c r="X103" s="2">
        <f ca="1"/>
        <v>61</v>
      </c>
      <c r="Y103" s="2">
        <f ca="1"/>
        <v>0</v>
      </c>
      <c r="Z103" s="2">
        <f ca="1"/>
        <v>1</v>
      </c>
      <c r="AE103" s="21">
        <f ca="1"/>
        <v>82</v>
      </c>
      <c r="AF103" s="21">
        <f ca="1"/>
        <v>80</v>
      </c>
      <c r="AG103" s="21">
        <f ca="1"/>
        <v>77</v>
      </c>
      <c r="AH103" s="36"/>
      <c r="AI103" s="21">
        <f ca="1"/>
        <v>-0.36</v>
      </c>
      <c r="AJ103" s="21">
        <f ca="1"/>
        <v>-0.37</v>
      </c>
      <c r="AK103" s="21">
        <f ca="1"/>
        <v>-0.4</v>
      </c>
      <c r="AL103" s="36"/>
      <c r="AM103" s="21">
        <f ca="1"/>
        <v>-0.35</v>
      </c>
    </row>
    <row r="104" spans="4:56" ht="17" customHeight="1" x14ac:dyDescent="0.2">
      <c r="F104" s="4">
        <v>12</v>
      </c>
      <c r="G104" s="2">
        <f ca="1"/>
        <v>1</v>
      </c>
      <c r="H104" s="2">
        <f ca="1"/>
        <v>0</v>
      </c>
      <c r="I104" s="2">
        <f ca="1"/>
        <v>57</v>
      </c>
      <c r="J104" s="2">
        <f ca="1"/>
        <v>85</v>
      </c>
      <c r="K104" s="2">
        <f ca="1"/>
        <v>76</v>
      </c>
      <c r="L104" s="2">
        <f ca="1"/>
        <v>93</v>
      </c>
      <c r="M104" s="2">
        <f ca="1"/>
        <v>94</v>
      </c>
      <c r="N104" s="2">
        <f ca="1"/>
        <v>84</v>
      </c>
      <c r="O104" s="2">
        <f ca="1"/>
        <v>62</v>
      </c>
      <c r="P104" s="2">
        <f ca="1"/>
        <v>82</v>
      </c>
      <c r="Q104" s="2">
        <f ca="1"/>
        <v>80</v>
      </c>
      <c r="R104" s="2">
        <f ca="1"/>
        <v>115</v>
      </c>
      <c r="S104" s="2">
        <f ca="1"/>
        <v>109</v>
      </c>
      <c r="T104" s="2">
        <f ca="1"/>
        <v>101</v>
      </c>
      <c r="U104" s="2">
        <f ca="1"/>
        <v>100</v>
      </c>
      <c r="V104" s="2">
        <f ca="1"/>
        <v>85</v>
      </c>
      <c r="W104" s="2">
        <f ca="1"/>
        <v>68</v>
      </c>
      <c r="X104" s="2">
        <f ca="1"/>
        <v>79</v>
      </c>
      <c r="Y104" s="2">
        <f ca="1"/>
        <v>2</v>
      </c>
      <c r="Z104" s="2">
        <f ca="1"/>
        <v>1</v>
      </c>
      <c r="AE104" s="36"/>
      <c r="AF104" s="36"/>
      <c r="AG104" s="36"/>
      <c r="AH104" s="36"/>
      <c r="AI104" s="36"/>
      <c r="AJ104" s="36"/>
      <c r="AK104" s="36"/>
      <c r="AL104" s="36"/>
      <c r="AM104" s="21">
        <f ca="1"/>
        <v>-0.34</v>
      </c>
    </row>
    <row r="105" spans="4:56" ht="17" customHeight="1" x14ac:dyDescent="0.2">
      <c r="F105" s="4">
        <v>13</v>
      </c>
      <c r="G105" s="2">
        <f ca="1"/>
        <v>1</v>
      </c>
      <c r="H105" s="2">
        <f ca="1"/>
        <v>0</v>
      </c>
      <c r="I105" s="2">
        <f ca="1"/>
        <v>58</v>
      </c>
      <c r="J105" s="2">
        <f ca="1"/>
        <v>87</v>
      </c>
      <c r="K105" s="2">
        <f ca="1"/>
        <v>70</v>
      </c>
      <c r="L105" s="2">
        <f ca="1"/>
        <v>86</v>
      </c>
      <c r="M105" s="2">
        <f ca="1"/>
        <v>97</v>
      </c>
      <c r="N105" s="2">
        <f ca="1"/>
        <v>68</v>
      </c>
      <c r="O105" s="2">
        <f ca="1"/>
        <v>44</v>
      </c>
      <c r="P105" s="2">
        <f ca="1"/>
        <v>85</v>
      </c>
      <c r="Q105" s="2">
        <f ca="1"/>
        <v>76</v>
      </c>
      <c r="R105" s="2">
        <f ca="1"/>
        <v>80</v>
      </c>
      <c r="S105" s="2">
        <f ca="1"/>
        <v>85</v>
      </c>
      <c r="T105" s="2">
        <f ca="1"/>
        <v>91</v>
      </c>
      <c r="U105" s="2">
        <f ca="1"/>
        <v>81</v>
      </c>
      <c r="V105" s="2">
        <f ca="1"/>
        <v>67</v>
      </c>
      <c r="W105" s="2">
        <f ca="1"/>
        <v>64</v>
      </c>
      <c r="X105" s="2">
        <f ca="1"/>
        <v>85</v>
      </c>
      <c r="Y105" s="2">
        <f ca="1"/>
        <v>4</v>
      </c>
      <c r="Z105" s="2">
        <f ca="1"/>
        <v>1</v>
      </c>
      <c r="AE105" s="36"/>
      <c r="AF105" s="36"/>
      <c r="AG105" s="36"/>
      <c r="AH105" s="36"/>
      <c r="AI105" s="36"/>
      <c r="AJ105" s="36"/>
      <c r="AK105" s="36"/>
      <c r="AL105" s="36"/>
      <c r="AM105" s="21">
        <f ca="1"/>
        <v>-0.39</v>
      </c>
    </row>
    <row r="106" spans="4:56" ht="17" customHeight="1" x14ac:dyDescent="0.2">
      <c r="F106" s="4">
        <v>14</v>
      </c>
      <c r="G106" s="2">
        <f ca="1"/>
        <v>1</v>
      </c>
      <c r="H106" s="2">
        <f ca="1"/>
        <v>0</v>
      </c>
      <c r="I106" s="2">
        <f ca="1"/>
        <v>48</v>
      </c>
      <c r="J106" s="2">
        <f ca="1"/>
        <v>102</v>
      </c>
      <c r="K106" s="2">
        <f ca="1"/>
        <v>74</v>
      </c>
      <c r="L106" s="2">
        <f ca="1"/>
        <v>87</v>
      </c>
      <c r="M106" s="2">
        <f ca="1"/>
        <v>96</v>
      </c>
      <c r="N106" s="2">
        <f ca="1"/>
        <v>49</v>
      </c>
      <c r="O106" s="2">
        <f ca="1"/>
        <v>52</v>
      </c>
      <c r="P106" s="2">
        <f ca="1"/>
        <v>89</v>
      </c>
      <c r="Q106" s="2">
        <f ca="1"/>
        <v>79</v>
      </c>
      <c r="R106" s="2">
        <f ca="1"/>
        <v>84</v>
      </c>
      <c r="S106" s="2">
        <f ca="1"/>
        <v>80</v>
      </c>
      <c r="T106" s="2">
        <f ca="1"/>
        <v>78</v>
      </c>
      <c r="U106" s="2">
        <f ca="1"/>
        <v>77</v>
      </c>
      <c r="V106" s="2">
        <f ca="1"/>
        <v>71</v>
      </c>
      <c r="W106" s="2">
        <f ca="1"/>
        <v>69</v>
      </c>
      <c r="X106" s="2">
        <f ca="1"/>
        <v>83</v>
      </c>
      <c r="Y106" s="2">
        <f ca="1"/>
        <v>1</v>
      </c>
      <c r="Z106" s="2">
        <f ca="1"/>
        <v>1</v>
      </c>
      <c r="AE106" s="36"/>
      <c r="AF106" s="36"/>
      <c r="AG106" s="36"/>
      <c r="AH106" s="36"/>
      <c r="AI106" s="36"/>
      <c r="AJ106" s="36"/>
      <c r="AK106" s="36"/>
      <c r="AL106" s="36"/>
      <c r="AM106" s="21">
        <f ca="1"/>
        <v>-0.4</v>
      </c>
    </row>
    <row r="107" spans="4:56" ht="17" customHeight="1" x14ac:dyDescent="0.2">
      <c r="F107" s="4">
        <v>15</v>
      </c>
      <c r="G107" s="2">
        <f ca="1"/>
        <v>1</v>
      </c>
      <c r="H107" s="2">
        <f ca="1"/>
        <v>0</v>
      </c>
      <c r="I107" s="2">
        <f ca="1"/>
        <v>26</v>
      </c>
      <c r="J107" s="2">
        <f ca="1"/>
        <v>114</v>
      </c>
      <c r="K107" s="2">
        <f ca="1"/>
        <v>71</v>
      </c>
      <c r="L107" s="2">
        <f ca="1"/>
        <v>80</v>
      </c>
      <c r="M107" s="2">
        <f ca="1"/>
        <v>91</v>
      </c>
      <c r="N107" s="2">
        <f ca="1"/>
        <v>78</v>
      </c>
      <c r="O107" s="2">
        <f ca="1"/>
        <v>87</v>
      </c>
      <c r="P107" s="2">
        <f ca="1"/>
        <v>87</v>
      </c>
      <c r="Q107" s="2">
        <f ca="1"/>
        <v>79</v>
      </c>
      <c r="R107" s="2">
        <f ca="1"/>
        <v>87</v>
      </c>
      <c r="S107" s="2">
        <f ca="1"/>
        <v>88</v>
      </c>
      <c r="T107" s="2">
        <f ca="1"/>
        <v>86</v>
      </c>
      <c r="U107" s="2">
        <f ca="1"/>
        <v>84</v>
      </c>
      <c r="V107" s="2">
        <f ca="1"/>
        <v>73</v>
      </c>
      <c r="W107" s="2">
        <f ca="1"/>
        <v>92</v>
      </c>
      <c r="X107" s="2">
        <f ca="1"/>
        <v>75</v>
      </c>
      <c r="Y107" s="2">
        <f ca="1"/>
        <v>0</v>
      </c>
      <c r="Z107" s="2">
        <f ca="1"/>
        <v>1</v>
      </c>
      <c r="AE107" s="36"/>
      <c r="AF107" s="36"/>
      <c r="AG107" s="36"/>
      <c r="AH107" s="36"/>
      <c r="AI107" s="36"/>
      <c r="AJ107" s="36"/>
      <c r="AK107" s="36"/>
      <c r="AL107" s="36"/>
      <c r="AM107" s="21">
        <f ca="1"/>
        <v>-0.36</v>
      </c>
    </row>
    <row r="108" spans="4:56" ht="17" customHeight="1" x14ac:dyDescent="0.2">
      <c r="F108" s="4">
        <v>16</v>
      </c>
      <c r="G108" s="2">
        <f ca="1"/>
        <v>1</v>
      </c>
      <c r="H108" s="2">
        <f ca="1"/>
        <v>2</v>
      </c>
      <c r="I108" s="2">
        <f ca="1"/>
        <v>4</v>
      </c>
      <c r="J108" s="2">
        <f ca="1"/>
        <v>112</v>
      </c>
      <c r="K108" s="2">
        <f ca="1"/>
        <v>78</v>
      </c>
      <c r="L108" s="2">
        <f ca="1"/>
        <v>75</v>
      </c>
      <c r="M108" s="2">
        <f ca="1"/>
        <v>85</v>
      </c>
      <c r="N108" s="2">
        <f ca="1"/>
        <v>92</v>
      </c>
      <c r="O108" s="2">
        <f ca="1"/>
        <v>87</v>
      </c>
      <c r="P108" s="2">
        <f ca="1"/>
        <v>82</v>
      </c>
      <c r="Q108" s="2">
        <f ca="1"/>
        <v>80</v>
      </c>
      <c r="R108" s="2">
        <f ca="1"/>
        <v>85</v>
      </c>
      <c r="S108" s="2">
        <f ca="1"/>
        <v>88</v>
      </c>
      <c r="T108" s="2">
        <f ca="1"/>
        <v>84</v>
      </c>
      <c r="U108" s="2">
        <f ca="1"/>
        <v>79</v>
      </c>
      <c r="V108" s="2">
        <f ca="1"/>
        <v>70</v>
      </c>
      <c r="W108" s="2">
        <f ca="1"/>
        <v>119</v>
      </c>
      <c r="X108" s="2">
        <f ca="1"/>
        <v>33</v>
      </c>
      <c r="Y108" s="2">
        <f ca="1"/>
        <v>0</v>
      </c>
      <c r="Z108" s="2">
        <f ca="1"/>
        <v>1</v>
      </c>
      <c r="AE108" s="36"/>
      <c r="AF108" s="36"/>
      <c r="AG108" s="36"/>
      <c r="AH108" s="36"/>
      <c r="AI108" s="36"/>
      <c r="AJ108" s="36"/>
      <c r="AK108" s="36"/>
      <c r="AL108" s="36"/>
      <c r="AM108" s="21">
        <f ca="1"/>
        <v>-0.37</v>
      </c>
    </row>
    <row r="109" spans="4:56" ht="17" customHeight="1" x14ac:dyDescent="0.2">
      <c r="F109" s="4">
        <v>17</v>
      </c>
      <c r="G109" s="2">
        <f ca="1"/>
        <v>0</v>
      </c>
      <c r="H109" s="2">
        <f ca="1"/>
        <v>2</v>
      </c>
      <c r="I109" s="2">
        <f ca="1"/>
        <v>0</v>
      </c>
      <c r="J109" s="2">
        <f ca="1"/>
        <v>74</v>
      </c>
      <c r="K109" s="2">
        <f ca="1"/>
        <v>119</v>
      </c>
      <c r="L109" s="2">
        <f ca="1"/>
        <v>72</v>
      </c>
      <c r="M109" s="2">
        <f ca="1"/>
        <v>82</v>
      </c>
      <c r="N109" s="2">
        <f ca="1"/>
        <v>87</v>
      </c>
      <c r="O109" s="2">
        <f ca="1"/>
        <v>83</v>
      </c>
      <c r="P109" s="2">
        <f ca="1"/>
        <v>81</v>
      </c>
      <c r="Q109" s="2">
        <f ca="1"/>
        <v>81</v>
      </c>
      <c r="R109" s="2">
        <f ca="1"/>
        <v>85</v>
      </c>
      <c r="S109" s="2">
        <f ca="1"/>
        <v>81</v>
      </c>
      <c r="T109" s="2">
        <f ca="1"/>
        <v>83</v>
      </c>
      <c r="U109" s="2">
        <f ca="1"/>
        <v>72</v>
      </c>
      <c r="V109" s="2">
        <f ca="1"/>
        <v>95</v>
      </c>
      <c r="W109" s="2">
        <f ca="1"/>
        <v>116</v>
      </c>
      <c r="X109" s="2">
        <f ca="1"/>
        <v>2</v>
      </c>
      <c r="Y109" s="2">
        <f ca="1"/>
        <v>2</v>
      </c>
      <c r="Z109" s="2">
        <f ca="1"/>
        <v>1</v>
      </c>
      <c r="AE109" s="36"/>
      <c r="AF109" s="36"/>
      <c r="AG109" s="36"/>
      <c r="AH109" s="36"/>
      <c r="AI109" s="36"/>
      <c r="AJ109" s="36"/>
      <c r="AK109" s="36"/>
      <c r="AL109" s="36"/>
      <c r="AM109" s="21">
        <f ca="1"/>
        <v>-0.4</v>
      </c>
      <c r="AU109" s="2" t="s">
        <v>13</v>
      </c>
    </row>
    <row r="110" spans="4:56" ht="17" customHeight="1" x14ac:dyDescent="0.2">
      <c r="F110" s="4">
        <v>18</v>
      </c>
      <c r="G110" s="2">
        <f ca="1"/>
        <v>0</v>
      </c>
      <c r="H110" s="2">
        <f ca="1"/>
        <v>2</v>
      </c>
      <c r="I110" s="2">
        <f ca="1"/>
        <v>1</v>
      </c>
      <c r="J110" s="2">
        <f ca="1"/>
        <v>14</v>
      </c>
      <c r="K110" s="2">
        <f ca="1"/>
        <v>136</v>
      </c>
      <c r="L110" s="2">
        <f ca="1"/>
        <v>83</v>
      </c>
      <c r="M110" s="2">
        <f ca="1"/>
        <v>72</v>
      </c>
      <c r="N110" s="2">
        <f ca="1"/>
        <v>81</v>
      </c>
      <c r="O110" s="2">
        <f ca="1"/>
        <v>81</v>
      </c>
      <c r="P110" s="2">
        <f ca="1"/>
        <v>78</v>
      </c>
      <c r="Q110" s="2">
        <f ca="1"/>
        <v>80</v>
      </c>
      <c r="R110" s="2">
        <f ca="1"/>
        <v>84</v>
      </c>
      <c r="S110" s="2">
        <f ca="1"/>
        <v>78</v>
      </c>
      <c r="T110" s="2">
        <f ca="1"/>
        <v>76</v>
      </c>
      <c r="U110" s="2">
        <f ca="1"/>
        <v>75</v>
      </c>
      <c r="V110" s="2">
        <f ca="1"/>
        <v>139</v>
      </c>
      <c r="W110" s="2">
        <f ca="1"/>
        <v>41</v>
      </c>
      <c r="X110" s="2">
        <f ca="1"/>
        <v>0</v>
      </c>
      <c r="Y110" s="2">
        <f ca="1"/>
        <v>3</v>
      </c>
      <c r="Z110" s="2">
        <f ca="1"/>
        <v>1</v>
      </c>
      <c r="AM110" s="20">
        <v>1</v>
      </c>
      <c r="AU110" s="21" cm="1">
        <f t="array" aca="1" ref="AU110:BD110" ca="1">TRANSPOSE(AM101:AM110)</f>
        <v>-0.33</v>
      </c>
      <c r="AV110" s="21">
        <f ca="1"/>
        <v>-0.36</v>
      </c>
      <c r="AW110" s="21">
        <f ca="1"/>
        <v>-0.35</v>
      </c>
      <c r="AX110" s="21">
        <f ca="1"/>
        <v>-0.34</v>
      </c>
      <c r="AY110" s="21">
        <f ca="1"/>
        <v>-0.39</v>
      </c>
      <c r="AZ110" s="21">
        <f ca="1"/>
        <v>-0.4</v>
      </c>
      <c r="BA110" s="21">
        <f ca="1"/>
        <v>-0.36</v>
      </c>
      <c r="BB110" s="21">
        <f ca="1"/>
        <v>-0.37</v>
      </c>
      <c r="BC110" s="102">
        <f ca="1"/>
        <v>-0.4</v>
      </c>
      <c r="BD110" s="20">
        <f ca="1"/>
        <v>1</v>
      </c>
    </row>
    <row r="111" spans="4:56" ht="17" customHeight="1" x14ac:dyDescent="0.15">
      <c r="F111" s="4">
        <v>19</v>
      </c>
      <c r="G111" s="2">
        <f ca="1"/>
        <v>1</v>
      </c>
      <c r="H111" s="2">
        <f ca="1"/>
        <v>6</v>
      </c>
      <c r="I111" s="2">
        <f ca="1"/>
        <v>6</v>
      </c>
      <c r="J111" s="2">
        <f ca="1"/>
        <v>4</v>
      </c>
      <c r="K111" s="2">
        <f ca="1"/>
        <v>41</v>
      </c>
      <c r="L111" s="2">
        <f ca="1"/>
        <v>128</v>
      </c>
      <c r="M111" s="2">
        <f ca="1"/>
        <v>85</v>
      </c>
      <c r="N111" s="2">
        <f ca="1"/>
        <v>73</v>
      </c>
      <c r="O111" s="2">
        <f ca="1"/>
        <v>80</v>
      </c>
      <c r="P111" s="2">
        <f ca="1"/>
        <v>68</v>
      </c>
      <c r="Q111" s="2">
        <f ca="1"/>
        <v>77</v>
      </c>
      <c r="R111" s="2">
        <f ca="1"/>
        <v>82</v>
      </c>
      <c r="S111" s="2">
        <f ca="1"/>
        <v>80</v>
      </c>
      <c r="T111" s="2">
        <f ca="1"/>
        <v>77</v>
      </c>
      <c r="U111" s="2">
        <f ca="1"/>
        <v>115</v>
      </c>
      <c r="V111" s="2">
        <f ca="1"/>
        <v>70</v>
      </c>
      <c r="W111" s="2">
        <f ca="1"/>
        <v>5</v>
      </c>
      <c r="X111" s="2">
        <f ca="1"/>
        <v>5</v>
      </c>
      <c r="Y111" s="2">
        <f ca="1"/>
        <v>5</v>
      </c>
      <c r="Z111" s="2">
        <f ca="1"/>
        <v>1</v>
      </c>
      <c r="AB111" s="45"/>
    </row>
    <row r="112" spans="4:56" ht="17" customHeight="1" x14ac:dyDescent="0.2">
      <c r="F112" s="4">
        <v>20</v>
      </c>
      <c r="G112" s="2">
        <f ca="1"/>
        <v>0</v>
      </c>
      <c r="H112" s="2">
        <f ca="1"/>
        <v>3</v>
      </c>
      <c r="I112" s="2">
        <f ca="1"/>
        <v>3</v>
      </c>
      <c r="J112" s="2">
        <f ca="1"/>
        <v>4</v>
      </c>
      <c r="K112" s="2">
        <f ca="1"/>
        <v>0</v>
      </c>
      <c r="L112" s="2">
        <f ca="1"/>
        <v>28</v>
      </c>
      <c r="M112" s="2">
        <f ca="1"/>
        <v>101</v>
      </c>
      <c r="N112" s="2">
        <f ca="1"/>
        <v>101</v>
      </c>
      <c r="O112" s="2">
        <f ca="1"/>
        <v>100</v>
      </c>
      <c r="P112" s="2">
        <f ca="1"/>
        <v>110</v>
      </c>
      <c r="Q112" s="2">
        <f ca="1"/>
        <v>105</v>
      </c>
      <c r="R112" s="2">
        <f ca="1"/>
        <v>96</v>
      </c>
      <c r="S112" s="2">
        <f ca="1"/>
        <v>105</v>
      </c>
      <c r="T112" s="2">
        <f ca="1"/>
        <v>106</v>
      </c>
      <c r="U112" s="2">
        <f ca="1"/>
        <v>36</v>
      </c>
      <c r="V112" s="2">
        <f ca="1"/>
        <v>1</v>
      </c>
      <c r="W112" s="2">
        <f ca="1"/>
        <v>5</v>
      </c>
      <c r="X112" s="2">
        <f ca="1"/>
        <v>4</v>
      </c>
      <c r="Y112" s="2">
        <f ca="1"/>
        <v>4</v>
      </c>
      <c r="Z112" s="2">
        <f ca="1"/>
        <v>1</v>
      </c>
      <c r="AB112" s="2" t="s">
        <v>11</v>
      </c>
      <c r="AK112" s="2" t="s">
        <v>12</v>
      </c>
      <c r="AM112" s="2" t="s">
        <v>86</v>
      </c>
      <c r="AO112" s="2" t="s">
        <v>63</v>
      </c>
      <c r="AP112" s="2" t="s">
        <v>92</v>
      </c>
      <c r="AQ112" s="2" t="s">
        <v>26</v>
      </c>
      <c r="AS112" s="136" t="s">
        <v>94</v>
      </c>
      <c r="AU112" s="136" t="s">
        <v>90</v>
      </c>
      <c r="BD112" s="2" t="s">
        <v>91</v>
      </c>
    </row>
    <row r="113" spans="2:57" ht="17" customHeight="1" x14ac:dyDescent="0.2">
      <c r="F113" s="4">
        <v>21</v>
      </c>
      <c r="G113" s="2">
        <f ca="1"/>
        <v>0</v>
      </c>
      <c r="H113" s="2">
        <f ca="1"/>
        <v>2</v>
      </c>
      <c r="I113" s="2">
        <f ca="1"/>
        <v>2</v>
      </c>
      <c r="J113" s="2">
        <f ca="1"/>
        <v>2</v>
      </c>
      <c r="K113" s="2">
        <f ca="1"/>
        <v>2</v>
      </c>
      <c r="L113" s="2">
        <f ca="1"/>
        <v>0</v>
      </c>
      <c r="M113" s="2">
        <f ca="1"/>
        <v>4</v>
      </c>
      <c r="N113" s="2">
        <f ca="1"/>
        <v>44</v>
      </c>
      <c r="O113" s="2">
        <f ca="1"/>
        <v>89</v>
      </c>
      <c r="P113" s="2">
        <f ca="1"/>
        <v>117</v>
      </c>
      <c r="Q113" s="2">
        <f ca="1"/>
        <v>116</v>
      </c>
      <c r="R113" s="2">
        <f ca="1"/>
        <v>86</v>
      </c>
      <c r="S113" s="2">
        <f ca="1"/>
        <v>45</v>
      </c>
      <c r="T113" s="2">
        <f ca="1"/>
        <v>8</v>
      </c>
      <c r="U113" s="2">
        <f ca="1"/>
        <v>0</v>
      </c>
      <c r="V113" s="2">
        <f ca="1"/>
        <v>2</v>
      </c>
      <c r="W113" s="2">
        <f ca="1"/>
        <v>2</v>
      </c>
      <c r="X113" s="2">
        <f ca="1"/>
        <v>2</v>
      </c>
      <c r="Y113" s="2">
        <f ca="1"/>
        <v>2</v>
      </c>
      <c r="Z113" s="2">
        <f ca="1"/>
        <v>0</v>
      </c>
      <c r="AB113" s="20" cm="1">
        <f t="array" aca="1" ref="AB113:AK116" ca="1">ROUND(_xlfn.ANCHORARRAY(AB83)+_xlfn.ANCHORARRAY(AU83),2)</f>
        <v>0.64</v>
      </c>
      <c r="AC113" s="20">
        <f ca="1"/>
        <v>0.48</v>
      </c>
      <c r="AD113" s="20">
        <f ca="1"/>
        <v>-0.14000000000000001</v>
      </c>
      <c r="AE113" s="20">
        <f ca="1"/>
        <v>0.24</v>
      </c>
      <c r="AF113" s="20">
        <f ca="1"/>
        <v>0.52</v>
      </c>
      <c r="AG113" s="20">
        <f ca="1"/>
        <v>0.12</v>
      </c>
      <c r="AH113" s="20">
        <f ca="1"/>
        <v>-0.82</v>
      </c>
      <c r="AI113" s="20">
        <f ca="1"/>
        <v>0.17</v>
      </c>
      <c r="AJ113" s="20">
        <f ca="1"/>
        <v>0.15</v>
      </c>
      <c r="AK113" s="20">
        <f ca="1"/>
        <v>-0.57999999999999996</v>
      </c>
      <c r="AM113" s="20" cm="1">
        <f t="array" aca="1" ref="AM113:AM116" ca="1">ROUND(MMULT(_xlfn.ANCHORARRAY(AB113),$AM$101:$AM$110),2)</f>
        <v>-1.08</v>
      </c>
      <c r="AO113" s="20" cm="1">
        <f t="array" aca="1" ref="AO113:AO116" ca="1">EXP(_xlfn.ANCHORARRAY(AM113))/SUM(EXP(_xlfn.ANCHORARRAY(AM113)))</f>
        <v>1.5948077817686746E-2</v>
      </c>
      <c r="AP113" s="20" cm="1">
        <f t="array" ref="AP113:AP116">_xlfn.ANCHORARRAY(E98)</f>
        <v>0</v>
      </c>
      <c r="AQ113" s="101" cm="1">
        <f t="array" aca="1" ref="AQ113" ca="1">-SUMPRODUCT(_xlfn.ANCHORARRAY(AP113), LN(_xlfn.ANCHORARRAY(AO113)))</f>
        <v>0.26841697001125436</v>
      </c>
      <c r="AS113" s="20" cm="1">
        <f t="array" aca="1" ref="AS113:AS116" ca="1">ROUND(_xlfn.ANCHORARRAY(AO113)-AP113:AP116,2)</f>
        <v>0.02</v>
      </c>
      <c r="AU113" s="20" cm="1">
        <f t="array" aca="1" ref="AU113:BD116" ca="1">ROUND(-$AV$21*MMULT(_xlfn.ANCHORARRAY(AS113),_xlfn.ANCHORARRAY(AU110)),2)</f>
        <v>0</v>
      </c>
      <c r="AV113" s="20">
        <f ca="1"/>
        <v>0</v>
      </c>
      <c r="AW113" s="20">
        <f ca="1"/>
        <v>0</v>
      </c>
      <c r="AX113" s="20">
        <f ca="1"/>
        <v>0</v>
      </c>
      <c r="AY113" s="20">
        <f ca="1"/>
        <v>0</v>
      </c>
      <c r="AZ113" s="20">
        <f ca="1"/>
        <v>0</v>
      </c>
      <c r="BA113" s="20">
        <f ca="1"/>
        <v>0</v>
      </c>
      <c r="BB113" s="20">
        <f ca="1"/>
        <v>0</v>
      </c>
      <c r="BC113" s="20">
        <f ca="1"/>
        <v>0</v>
      </c>
      <c r="BD113" s="20">
        <f ca="1"/>
        <v>-0.01</v>
      </c>
    </row>
    <row r="114" spans="2:57" ht="17" customHeight="1" x14ac:dyDescent="0.2">
      <c r="F114" s="4">
        <v>22</v>
      </c>
      <c r="G114" s="2">
        <f ca="1"/>
        <v>0</v>
      </c>
      <c r="H114" s="2">
        <f ca="1"/>
        <v>2</v>
      </c>
      <c r="I114" s="2">
        <f ca="1"/>
        <v>2</v>
      </c>
      <c r="J114" s="2">
        <f ca="1"/>
        <v>2</v>
      </c>
      <c r="K114" s="2">
        <f ca="1"/>
        <v>2</v>
      </c>
      <c r="L114" s="2">
        <f ca="1"/>
        <v>2</v>
      </c>
      <c r="M114" s="2">
        <f ca="1"/>
        <v>1</v>
      </c>
      <c r="N114" s="2">
        <f ca="1"/>
        <v>0</v>
      </c>
      <c r="O114" s="2">
        <f ca="1"/>
        <v>0</v>
      </c>
      <c r="P114" s="2">
        <f ca="1"/>
        <v>0</v>
      </c>
      <c r="Q114" s="2">
        <f ca="1"/>
        <v>0</v>
      </c>
      <c r="R114" s="2">
        <f ca="1"/>
        <v>0</v>
      </c>
      <c r="S114" s="2">
        <f ca="1"/>
        <v>0</v>
      </c>
      <c r="T114" s="2">
        <f ca="1"/>
        <v>1</v>
      </c>
      <c r="U114" s="2">
        <f ca="1"/>
        <v>2</v>
      </c>
      <c r="V114" s="2">
        <f ca="1"/>
        <v>2</v>
      </c>
      <c r="W114" s="2">
        <f ca="1"/>
        <v>2</v>
      </c>
      <c r="X114" s="2">
        <f ca="1"/>
        <v>2</v>
      </c>
      <c r="Y114" s="2">
        <f ca="1"/>
        <v>2</v>
      </c>
      <c r="Z114" s="2">
        <f ca="1"/>
        <v>0</v>
      </c>
      <c r="AB114" s="20">
        <f ca="1"/>
        <v>0.53</v>
      </c>
      <c r="AC114" s="20">
        <f ca="1"/>
        <v>-0.98</v>
      </c>
      <c r="AD114" s="20">
        <f ca="1"/>
        <v>-0.74</v>
      </c>
      <c r="AE114" s="20">
        <f ca="1"/>
        <v>-0.01</v>
      </c>
      <c r="AF114" s="20">
        <f ca="1"/>
        <v>-0.18</v>
      </c>
      <c r="AG114" s="20">
        <f ca="1"/>
        <v>-0.71</v>
      </c>
      <c r="AH114" s="20">
        <f ca="1"/>
        <v>-0.67</v>
      </c>
      <c r="AI114" s="20">
        <f ca="1"/>
        <v>-0.82</v>
      </c>
      <c r="AJ114" s="20">
        <f ca="1"/>
        <v>-0.64</v>
      </c>
      <c r="AK114" s="20">
        <f ca="1"/>
        <v>1.19</v>
      </c>
      <c r="AM114" s="20">
        <f ca="1"/>
        <v>2.79</v>
      </c>
      <c r="AO114" s="20">
        <f ca="1"/>
        <v>0.76458890398248736</v>
      </c>
      <c r="AP114" s="20">
        <v>1</v>
      </c>
      <c r="AS114" s="20">
        <f ca="1"/>
        <v>-0.24</v>
      </c>
      <c r="AU114" s="20">
        <f ca="1"/>
        <v>-0.02</v>
      </c>
      <c r="AV114" s="20">
        <f ca="1"/>
        <v>-0.02</v>
      </c>
      <c r="AW114" s="20">
        <f ca="1"/>
        <v>-0.02</v>
      </c>
      <c r="AX114" s="20">
        <f ca="1"/>
        <v>-0.02</v>
      </c>
      <c r="AY114" s="20">
        <f ca="1"/>
        <v>-0.02</v>
      </c>
      <c r="AZ114" s="20">
        <f ca="1"/>
        <v>-0.02</v>
      </c>
      <c r="BA114" s="20">
        <f ca="1"/>
        <v>-0.02</v>
      </c>
      <c r="BB114" s="20">
        <f ca="1"/>
        <v>-0.02</v>
      </c>
      <c r="BC114" s="20">
        <f ca="1"/>
        <v>-0.02</v>
      </c>
      <c r="BD114" s="20">
        <f ca="1"/>
        <v>0.06</v>
      </c>
    </row>
    <row r="115" spans="2:57" ht="17" customHeight="1" x14ac:dyDescent="0.2">
      <c r="F115" s="4">
        <v>23</v>
      </c>
      <c r="G115" s="2">
        <f ca="1"/>
        <v>0</v>
      </c>
      <c r="H115" s="2">
        <f ca="1"/>
        <v>2</v>
      </c>
      <c r="I115" s="2">
        <f ca="1"/>
        <v>2</v>
      </c>
      <c r="J115" s="2">
        <f ca="1"/>
        <v>2</v>
      </c>
      <c r="K115" s="2">
        <f ca="1"/>
        <v>2</v>
      </c>
      <c r="L115" s="2">
        <f ca="1"/>
        <v>2</v>
      </c>
      <c r="M115" s="2">
        <f ca="1"/>
        <v>2</v>
      </c>
      <c r="N115" s="2">
        <f ca="1"/>
        <v>2</v>
      </c>
      <c r="O115" s="2">
        <f ca="1"/>
        <v>2</v>
      </c>
      <c r="P115" s="2">
        <f ca="1"/>
        <v>2</v>
      </c>
      <c r="Q115" s="2">
        <f ca="1"/>
        <v>2</v>
      </c>
      <c r="R115" s="2">
        <f ca="1"/>
        <v>2</v>
      </c>
      <c r="S115" s="2">
        <f ca="1"/>
        <v>2</v>
      </c>
      <c r="T115" s="2">
        <f ca="1"/>
        <v>2</v>
      </c>
      <c r="U115" s="2">
        <f ca="1"/>
        <v>2</v>
      </c>
      <c r="V115" s="2">
        <f ca="1"/>
        <v>2</v>
      </c>
      <c r="W115" s="2">
        <f ca="1"/>
        <v>2</v>
      </c>
      <c r="X115" s="2">
        <f ca="1"/>
        <v>2</v>
      </c>
      <c r="Y115" s="2">
        <f ca="1"/>
        <v>2</v>
      </c>
      <c r="Z115" s="2">
        <f ca="1"/>
        <v>0</v>
      </c>
      <c r="AB115" s="20">
        <f ca="1"/>
        <v>-0.66</v>
      </c>
      <c r="AC115" s="20">
        <f ca="1"/>
        <v>0.1</v>
      </c>
      <c r="AD115" s="20">
        <f ca="1"/>
        <v>0.08</v>
      </c>
      <c r="AE115" s="20">
        <f ca="1"/>
        <v>-0.46</v>
      </c>
      <c r="AF115" s="20">
        <f ca="1"/>
        <v>0.44</v>
      </c>
      <c r="AG115" s="20">
        <f ca="1"/>
        <v>-0.19</v>
      </c>
      <c r="AH115" s="20">
        <f ca="1"/>
        <v>-0.73</v>
      </c>
      <c r="AI115" s="20">
        <f ca="1"/>
        <v>0.23</v>
      </c>
      <c r="AJ115" s="20">
        <f ca="1"/>
        <v>0.02</v>
      </c>
      <c r="AK115" s="20">
        <f ca="1"/>
        <v>0.15</v>
      </c>
      <c r="AM115" s="20">
        <f ca="1"/>
        <v>0.53</v>
      </c>
      <c r="AO115" s="20">
        <f ca="1"/>
        <v>7.9785222768687034E-2</v>
      </c>
      <c r="AP115" s="20">
        <v>0</v>
      </c>
      <c r="AS115" s="20">
        <f ca="1"/>
        <v>0.08</v>
      </c>
      <c r="AU115" s="20">
        <f ca="1"/>
        <v>0.01</v>
      </c>
      <c r="AV115" s="20">
        <f ca="1"/>
        <v>0.01</v>
      </c>
      <c r="AW115" s="20">
        <f ca="1"/>
        <v>0.01</v>
      </c>
      <c r="AX115" s="20">
        <f ca="1"/>
        <v>0.01</v>
      </c>
      <c r="AY115" s="20">
        <f ca="1"/>
        <v>0.01</v>
      </c>
      <c r="AZ115" s="20">
        <f ca="1"/>
        <v>0.01</v>
      </c>
      <c r="BA115" s="20">
        <f ca="1"/>
        <v>0.01</v>
      </c>
      <c r="BB115" s="20">
        <f ca="1"/>
        <v>0.01</v>
      </c>
      <c r="BC115" s="20">
        <f ca="1"/>
        <v>0.01</v>
      </c>
      <c r="BD115" s="20">
        <f ca="1"/>
        <v>-0.02</v>
      </c>
    </row>
    <row r="116" spans="2:57" ht="17" customHeight="1" x14ac:dyDescent="0.2">
      <c r="F116" s="4">
        <v>24</v>
      </c>
      <c r="G116" s="2">
        <f ca="1"/>
        <v>0</v>
      </c>
      <c r="H116" s="2">
        <f ca="1"/>
        <v>1</v>
      </c>
      <c r="I116" s="2">
        <f ca="1"/>
        <v>1</v>
      </c>
      <c r="J116" s="2">
        <f ca="1"/>
        <v>1</v>
      </c>
      <c r="K116" s="2">
        <f ca="1"/>
        <v>1</v>
      </c>
      <c r="L116" s="2">
        <f ca="1"/>
        <v>1</v>
      </c>
      <c r="M116" s="2">
        <f ca="1"/>
        <v>1</v>
      </c>
      <c r="N116" s="2">
        <f ca="1"/>
        <v>1</v>
      </c>
      <c r="O116" s="2">
        <f ca="1"/>
        <v>1</v>
      </c>
      <c r="P116" s="2">
        <f ca="1"/>
        <v>1</v>
      </c>
      <c r="Q116" s="2">
        <f ca="1"/>
        <v>1</v>
      </c>
      <c r="R116" s="2">
        <f ca="1"/>
        <v>1</v>
      </c>
      <c r="S116" s="2">
        <f ca="1"/>
        <v>1</v>
      </c>
      <c r="T116" s="2">
        <f ca="1"/>
        <v>1</v>
      </c>
      <c r="U116" s="2">
        <f ca="1"/>
        <v>1</v>
      </c>
      <c r="V116" s="2">
        <f ca="1"/>
        <v>1</v>
      </c>
      <c r="W116" s="2">
        <f ca="1"/>
        <v>1</v>
      </c>
      <c r="X116" s="2">
        <f ca="1"/>
        <v>1</v>
      </c>
      <c r="Y116" s="2">
        <f ca="1"/>
        <v>1</v>
      </c>
      <c r="Z116" s="2">
        <f ca="1"/>
        <v>0</v>
      </c>
      <c r="AB116" s="20">
        <f ca="1"/>
        <v>-0.04</v>
      </c>
      <c r="AC116" s="20">
        <f ca="1"/>
        <v>-0.73</v>
      </c>
      <c r="AD116" s="20">
        <f ca="1"/>
        <v>-0.86</v>
      </c>
      <c r="AE116" s="20">
        <f ca="1"/>
        <v>0.77</v>
      </c>
      <c r="AF116" s="20">
        <f ca="1"/>
        <v>-0.43</v>
      </c>
      <c r="AG116" s="20">
        <f ca="1"/>
        <v>-7.0000000000000007E-2</v>
      </c>
      <c r="AH116" s="20">
        <f ca="1"/>
        <v>-0.79</v>
      </c>
      <c r="AI116" s="20">
        <f ca="1"/>
        <v>-0.16</v>
      </c>
      <c r="AJ116" s="20">
        <f ca="1"/>
        <v>0.16</v>
      </c>
      <c r="AK116" s="20">
        <f ca="1"/>
        <v>0.3</v>
      </c>
      <c r="AM116" s="20">
        <f ca="1"/>
        <v>1.0900000000000001</v>
      </c>
      <c r="AO116" s="20">
        <f ca="1"/>
        <v>0.13967779543113876</v>
      </c>
      <c r="AP116" s="20">
        <v>0</v>
      </c>
      <c r="AS116" s="20">
        <f ca="1"/>
        <v>0.14000000000000001</v>
      </c>
      <c r="AU116" s="20">
        <f ca="1"/>
        <v>0.01</v>
      </c>
      <c r="AV116" s="20">
        <f ca="1"/>
        <v>0.01</v>
      </c>
      <c r="AW116" s="20">
        <f ca="1"/>
        <v>0.01</v>
      </c>
      <c r="AX116" s="20">
        <f ca="1"/>
        <v>0.01</v>
      </c>
      <c r="AY116" s="20">
        <f ca="1"/>
        <v>0.01</v>
      </c>
      <c r="AZ116" s="20">
        <f ca="1"/>
        <v>0.01</v>
      </c>
      <c r="BA116" s="20">
        <f ca="1"/>
        <v>0.01</v>
      </c>
      <c r="BB116" s="20">
        <f ca="1"/>
        <v>0.01</v>
      </c>
      <c r="BC116" s="20">
        <f ca="1"/>
        <v>0.01</v>
      </c>
      <c r="BD116" s="20">
        <f ca="1"/>
        <v>-0.04</v>
      </c>
    </row>
    <row r="119" spans="2:57" ht="17" customHeight="1" x14ac:dyDescent="0.2">
      <c r="B119" s="113"/>
      <c r="C119" s="114" t="s">
        <v>72</v>
      </c>
      <c r="D119" s="113"/>
      <c r="E119" s="59"/>
      <c r="F119" s="59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  <c r="AA119" s="15"/>
      <c r="AB119" s="15"/>
      <c r="AC119" s="15"/>
      <c r="AD119" s="15"/>
      <c r="AE119" s="15"/>
      <c r="AF119" s="15"/>
      <c r="AG119" s="15"/>
      <c r="AH119" s="15"/>
      <c r="AI119" s="15"/>
      <c r="AJ119" s="15"/>
      <c r="AK119" s="15"/>
      <c r="AL119" s="15"/>
      <c r="AM119" s="15"/>
      <c r="AN119" s="15"/>
      <c r="AO119" s="15"/>
      <c r="AP119" s="15"/>
      <c r="AQ119" s="15"/>
      <c r="AR119" s="15"/>
      <c r="AS119" s="15"/>
      <c r="AT119" s="15"/>
      <c r="AU119" s="15"/>
      <c r="AV119" s="15"/>
      <c r="AW119" s="15"/>
      <c r="AX119" s="15"/>
      <c r="AY119" s="15"/>
      <c r="AZ119" s="15"/>
      <c r="BA119" s="15"/>
      <c r="BB119" s="15"/>
      <c r="BC119" s="15"/>
      <c r="BD119" s="15"/>
      <c r="BE119" s="15"/>
    </row>
    <row r="120" spans="2:57" ht="17" customHeight="1" x14ac:dyDescent="0.2">
      <c r="C120" s="52"/>
      <c r="D120" s="2"/>
    </row>
    <row r="121" spans="2:57" ht="17" customHeight="1" x14ac:dyDescent="0.2">
      <c r="G121" s="2">
        <v>1</v>
      </c>
      <c r="H121" s="2">
        <v>2</v>
      </c>
      <c r="I121" s="2">
        <v>3</v>
      </c>
      <c r="J121" s="2">
        <v>4</v>
      </c>
      <c r="K121" s="2">
        <v>5</v>
      </c>
      <c r="L121" s="2">
        <v>6</v>
      </c>
      <c r="M121" s="2">
        <v>7</v>
      </c>
      <c r="N121" s="2">
        <v>8</v>
      </c>
      <c r="O121" s="2">
        <v>9</v>
      </c>
      <c r="P121" s="2">
        <v>10</v>
      </c>
      <c r="Q121" s="2">
        <v>11</v>
      </c>
      <c r="R121" s="2">
        <v>12</v>
      </c>
      <c r="S121" s="2">
        <v>13</v>
      </c>
      <c r="T121" s="2">
        <v>14</v>
      </c>
      <c r="U121" s="2">
        <v>15</v>
      </c>
      <c r="V121" s="2">
        <v>16</v>
      </c>
      <c r="W121" s="2">
        <v>17</v>
      </c>
      <c r="X121" s="2">
        <v>18</v>
      </c>
      <c r="Y121" s="2">
        <v>19</v>
      </c>
      <c r="Z121" s="2">
        <v>20</v>
      </c>
    </row>
    <row r="122" spans="2:57" ht="17" customHeight="1" x14ac:dyDescent="0.2">
      <c r="F122" s="4">
        <v>1</v>
      </c>
      <c r="G122" s="2" cm="1">
        <f t="array" aca="1" ref="G122:Z145" ca="1">OFFSET('Dataset-Tumor'!D5, 24*(E123-1), 20*(E124-1), 24, 20)</f>
        <v>1</v>
      </c>
      <c r="H122" s="2">
        <f ca="1"/>
        <v>1</v>
      </c>
      <c r="I122" s="2">
        <f ca="1"/>
        <v>1</v>
      </c>
      <c r="J122" s="2">
        <f ca="1"/>
        <v>1</v>
      </c>
      <c r="K122" s="2">
        <f ca="1"/>
        <v>1</v>
      </c>
      <c r="L122" s="2">
        <f ca="1"/>
        <v>1</v>
      </c>
      <c r="M122" s="2">
        <f ca="1"/>
        <v>1</v>
      </c>
      <c r="N122" s="2">
        <f ca="1"/>
        <v>1</v>
      </c>
      <c r="O122" s="2">
        <f ca="1"/>
        <v>1</v>
      </c>
      <c r="P122" s="2">
        <f ca="1"/>
        <v>1</v>
      </c>
      <c r="Q122" s="2">
        <f ca="1"/>
        <v>1</v>
      </c>
      <c r="R122" s="2">
        <f ca="1"/>
        <v>1</v>
      </c>
      <c r="S122" s="2">
        <f ca="1"/>
        <v>1</v>
      </c>
      <c r="T122" s="2">
        <f ca="1"/>
        <v>1</v>
      </c>
      <c r="U122" s="2">
        <f ca="1"/>
        <v>1</v>
      </c>
      <c r="V122" s="2">
        <f ca="1"/>
        <v>1</v>
      </c>
      <c r="W122" s="2">
        <f ca="1"/>
        <v>1</v>
      </c>
      <c r="X122" s="2">
        <f ca="1"/>
        <v>1</v>
      </c>
      <c r="Y122" s="2">
        <f ca="1"/>
        <v>1</v>
      </c>
      <c r="Z122" s="2">
        <f ca="1"/>
        <v>1</v>
      </c>
      <c r="AF122" s="4"/>
      <c r="AG122" s="36"/>
      <c r="AH122" s="36" t="s">
        <v>5</v>
      </c>
      <c r="AI122" s="4"/>
    </row>
    <row r="123" spans="2:57" ht="17" customHeight="1" x14ac:dyDescent="0.2">
      <c r="D123" s="16" t="s">
        <v>25</v>
      </c>
      <c r="E123" s="49">
        <v>3</v>
      </c>
      <c r="F123" s="4">
        <v>2</v>
      </c>
      <c r="G123" s="2">
        <f ca="1"/>
        <v>1</v>
      </c>
      <c r="H123" s="2">
        <f ca="1"/>
        <v>1</v>
      </c>
      <c r="I123" s="2">
        <f ca="1"/>
        <v>1</v>
      </c>
      <c r="J123" s="2">
        <f ca="1"/>
        <v>1</v>
      </c>
      <c r="K123" s="2">
        <f ca="1"/>
        <v>1</v>
      </c>
      <c r="L123" s="2">
        <f ca="1"/>
        <v>1</v>
      </c>
      <c r="M123" s="2">
        <f ca="1"/>
        <v>1</v>
      </c>
      <c r="N123" s="2">
        <f ca="1"/>
        <v>1</v>
      </c>
      <c r="O123" s="2">
        <f ca="1"/>
        <v>1</v>
      </c>
      <c r="P123" s="2">
        <f ca="1"/>
        <v>1</v>
      </c>
      <c r="Q123" s="2">
        <f ca="1"/>
        <v>1</v>
      </c>
      <c r="R123" s="2">
        <f ca="1"/>
        <v>1</v>
      </c>
      <c r="S123" s="2">
        <f ca="1"/>
        <v>1</v>
      </c>
      <c r="T123" s="2">
        <f ca="1"/>
        <v>1</v>
      </c>
      <c r="U123" s="2">
        <f ca="1"/>
        <v>1</v>
      </c>
      <c r="V123" s="2">
        <f ca="1"/>
        <v>1</v>
      </c>
      <c r="W123" s="2">
        <f ca="1"/>
        <v>1</v>
      </c>
      <c r="X123" s="2">
        <f ca="1"/>
        <v>1</v>
      </c>
      <c r="Y123" s="2">
        <f ca="1"/>
        <v>1</v>
      </c>
      <c r="Z123" s="2">
        <f ca="1"/>
        <v>1</v>
      </c>
      <c r="AF123" s="4"/>
      <c r="AG123" s="36">
        <v>1</v>
      </c>
      <c r="AH123" s="36">
        <f ca="1">AQ27</f>
        <v>0.47339147444791946</v>
      </c>
      <c r="AI123" s="4"/>
    </row>
    <row r="124" spans="2:57" ht="17" customHeight="1" x14ac:dyDescent="0.2">
      <c r="D124" s="16" t="s">
        <v>21</v>
      </c>
      <c r="E124" s="49">
        <v>2</v>
      </c>
      <c r="F124" s="4">
        <v>3</v>
      </c>
      <c r="G124" s="2">
        <f ca="1"/>
        <v>1</v>
      </c>
      <c r="H124" s="2">
        <f ca="1"/>
        <v>1</v>
      </c>
      <c r="I124" s="2">
        <f ca="1"/>
        <v>1</v>
      </c>
      <c r="J124" s="2">
        <f ca="1"/>
        <v>1</v>
      </c>
      <c r="K124" s="2">
        <f ca="1"/>
        <v>1</v>
      </c>
      <c r="L124" s="2">
        <f ca="1"/>
        <v>1</v>
      </c>
      <c r="M124" s="2">
        <f ca="1"/>
        <v>0</v>
      </c>
      <c r="N124" s="2">
        <f ca="1"/>
        <v>0</v>
      </c>
      <c r="O124" s="2">
        <f ca="1"/>
        <v>0</v>
      </c>
      <c r="P124" s="2">
        <f ca="1"/>
        <v>3</v>
      </c>
      <c r="Q124" s="2">
        <f ca="1"/>
        <v>4</v>
      </c>
      <c r="R124" s="2">
        <f ca="1"/>
        <v>2</v>
      </c>
      <c r="S124" s="2">
        <f ca="1"/>
        <v>0</v>
      </c>
      <c r="T124" s="2">
        <f ca="1"/>
        <v>0</v>
      </c>
      <c r="U124" s="2">
        <f ca="1"/>
        <v>1</v>
      </c>
      <c r="V124" s="2">
        <f ca="1"/>
        <v>1</v>
      </c>
      <c r="W124" s="2">
        <f ca="1"/>
        <v>1</v>
      </c>
      <c r="X124" s="2">
        <f ca="1"/>
        <v>1</v>
      </c>
      <c r="Y124" s="2">
        <f ca="1"/>
        <v>1</v>
      </c>
      <c r="Z124" s="2">
        <f ca="1"/>
        <v>1</v>
      </c>
      <c r="AF124" s="4"/>
      <c r="AG124" s="36">
        <v>2</v>
      </c>
      <c r="AH124" s="36">
        <f ca="1">AQ55</f>
        <v>1.0206342442174938</v>
      </c>
      <c r="AI124" s="4"/>
    </row>
    <row r="125" spans="2:57" ht="17" customHeight="1" x14ac:dyDescent="0.2">
      <c r="F125" s="4">
        <v>4</v>
      </c>
      <c r="G125" s="2">
        <f ca="1"/>
        <v>1</v>
      </c>
      <c r="H125" s="2">
        <f ca="1"/>
        <v>1</v>
      </c>
      <c r="I125" s="2">
        <f ca="1"/>
        <v>1</v>
      </c>
      <c r="J125" s="2">
        <f ca="1"/>
        <v>1</v>
      </c>
      <c r="K125" s="2">
        <f ca="1"/>
        <v>1</v>
      </c>
      <c r="L125" s="2">
        <f ca="1"/>
        <v>0</v>
      </c>
      <c r="M125" s="2">
        <f ca="1"/>
        <v>8</v>
      </c>
      <c r="N125" s="2">
        <f ca="1"/>
        <v>35</v>
      </c>
      <c r="O125" s="2">
        <f ca="1"/>
        <v>50</v>
      </c>
      <c r="P125" s="2">
        <f ca="1"/>
        <v>53</v>
      </c>
      <c r="Q125" s="2">
        <f ca="1"/>
        <v>54</v>
      </c>
      <c r="R125" s="2">
        <f ca="1"/>
        <v>65</v>
      </c>
      <c r="S125" s="2">
        <f ca="1"/>
        <v>62</v>
      </c>
      <c r="T125" s="2">
        <f ca="1"/>
        <v>11</v>
      </c>
      <c r="U125" s="2">
        <f ca="1"/>
        <v>0</v>
      </c>
      <c r="V125" s="2">
        <f ca="1"/>
        <v>1</v>
      </c>
      <c r="W125" s="2">
        <f ca="1"/>
        <v>1</v>
      </c>
      <c r="X125" s="2">
        <f ca="1"/>
        <v>1</v>
      </c>
      <c r="Y125" s="2">
        <f ca="1"/>
        <v>1</v>
      </c>
      <c r="Z125" s="2">
        <f ca="1"/>
        <v>1</v>
      </c>
      <c r="AF125" s="4"/>
      <c r="AG125" s="36">
        <v>3</v>
      </c>
      <c r="AH125" s="36">
        <f ca="1">AQ83</f>
        <v>0.6808679656145411</v>
      </c>
      <c r="AI125" s="4"/>
    </row>
    <row r="126" spans="2:57" ht="17" customHeight="1" x14ac:dyDescent="0.2">
      <c r="E126" s="4" t="s">
        <v>16</v>
      </c>
      <c r="F126" s="4">
        <v>5</v>
      </c>
      <c r="G126" s="2">
        <f ca="1"/>
        <v>1</v>
      </c>
      <c r="H126" s="2">
        <f ca="1"/>
        <v>1</v>
      </c>
      <c r="I126" s="2">
        <f ca="1"/>
        <v>1</v>
      </c>
      <c r="J126" s="2">
        <f ca="1"/>
        <v>1</v>
      </c>
      <c r="K126" s="2">
        <f ca="1"/>
        <v>0</v>
      </c>
      <c r="L126" s="2">
        <f ca="1"/>
        <v>22</v>
      </c>
      <c r="M126" s="2">
        <f ca="1"/>
        <v>61</v>
      </c>
      <c r="N126" s="2">
        <f ca="1"/>
        <v>54</v>
      </c>
      <c r="O126" s="2">
        <f ca="1"/>
        <v>73</v>
      </c>
      <c r="P126" s="2">
        <f ca="1"/>
        <v>105</v>
      </c>
      <c r="Q126" s="2">
        <f ca="1"/>
        <v>29</v>
      </c>
      <c r="R126" s="2">
        <f ca="1"/>
        <v>30</v>
      </c>
      <c r="S126" s="2">
        <f ca="1"/>
        <v>62</v>
      </c>
      <c r="T126" s="2">
        <f ca="1"/>
        <v>91</v>
      </c>
      <c r="U126" s="2">
        <f ca="1"/>
        <v>34</v>
      </c>
      <c r="V126" s="2">
        <f ca="1"/>
        <v>0</v>
      </c>
      <c r="W126" s="2">
        <f ca="1"/>
        <v>1</v>
      </c>
      <c r="X126" s="2">
        <f ca="1"/>
        <v>1</v>
      </c>
      <c r="Y126" s="2">
        <f ca="1"/>
        <v>1</v>
      </c>
      <c r="Z126" s="2">
        <f ca="1"/>
        <v>1</v>
      </c>
      <c r="AF126" s="4"/>
      <c r="AG126" s="36">
        <v>4</v>
      </c>
      <c r="AH126" s="36">
        <f ca="1">AQ113</f>
        <v>0.26841697001125436</v>
      </c>
      <c r="AI126" s="4"/>
    </row>
    <row r="127" spans="2:57" ht="17" customHeight="1" x14ac:dyDescent="0.2">
      <c r="D127" s="16" t="s">
        <v>20</v>
      </c>
      <c r="E127" s="35" cm="1">
        <f t="array" ref="E127:E130">TRANSPOSE(IF(_xlfn.SEQUENCE(1, COUNT([0]!Classes),1,1)=E123,1,0))</f>
        <v>0</v>
      </c>
      <c r="F127" s="4">
        <v>6</v>
      </c>
      <c r="G127" s="2">
        <f ca="1"/>
        <v>1</v>
      </c>
      <c r="H127" s="2">
        <f ca="1"/>
        <v>1</v>
      </c>
      <c r="I127" s="2">
        <f ca="1"/>
        <v>1</v>
      </c>
      <c r="J127" s="2">
        <f ca="1"/>
        <v>0</v>
      </c>
      <c r="K127" s="2">
        <f ca="1"/>
        <v>8</v>
      </c>
      <c r="L127" s="2">
        <f ca="1"/>
        <v>50</v>
      </c>
      <c r="M127" s="2">
        <f ca="1"/>
        <v>50</v>
      </c>
      <c r="N127" s="2">
        <f ca="1"/>
        <v>39</v>
      </c>
      <c r="O127" s="2">
        <f ca="1"/>
        <v>93</v>
      </c>
      <c r="P127" s="2">
        <f ca="1"/>
        <v>139</v>
      </c>
      <c r="Q127" s="2">
        <f ca="1"/>
        <v>130</v>
      </c>
      <c r="R127" s="2">
        <f ca="1"/>
        <v>136</v>
      </c>
      <c r="S127" s="2">
        <f ca="1"/>
        <v>74</v>
      </c>
      <c r="T127" s="2">
        <f ca="1"/>
        <v>79</v>
      </c>
      <c r="U127" s="2">
        <f ca="1"/>
        <v>98</v>
      </c>
      <c r="V127" s="2">
        <f ca="1"/>
        <v>27</v>
      </c>
      <c r="W127" s="2">
        <f ca="1"/>
        <v>0</v>
      </c>
      <c r="X127" s="2">
        <f ca="1"/>
        <v>1</v>
      </c>
      <c r="Y127" s="2">
        <f ca="1"/>
        <v>1</v>
      </c>
      <c r="Z127" s="2">
        <f ca="1"/>
        <v>1</v>
      </c>
      <c r="AF127" s="4"/>
      <c r="AG127" s="4"/>
      <c r="AH127" s="4"/>
      <c r="AI127" s="4"/>
      <c r="AZ127" s="4"/>
    </row>
    <row r="128" spans="2:57" ht="17" customHeight="1" x14ac:dyDescent="0.2">
      <c r="D128" s="16" t="s">
        <v>8</v>
      </c>
      <c r="E128" s="35">
        <v>0</v>
      </c>
      <c r="F128" s="4">
        <v>7</v>
      </c>
      <c r="G128" s="2">
        <f ca="1"/>
        <v>1</v>
      </c>
      <c r="H128" s="2">
        <f ca="1"/>
        <v>1</v>
      </c>
      <c r="I128" s="2">
        <f ca="1"/>
        <v>1</v>
      </c>
      <c r="J128" s="2">
        <f ca="1"/>
        <v>1</v>
      </c>
      <c r="K128" s="2">
        <f ca="1"/>
        <v>36</v>
      </c>
      <c r="L128" s="2">
        <f ca="1"/>
        <v>47</v>
      </c>
      <c r="M128" s="2">
        <f ca="1"/>
        <v>50</v>
      </c>
      <c r="N128" s="2">
        <f ca="1"/>
        <v>73</v>
      </c>
      <c r="O128" s="2">
        <f ca="1"/>
        <v>92</v>
      </c>
      <c r="P128" s="2">
        <f ca="1"/>
        <v>102</v>
      </c>
      <c r="Q128" s="2">
        <f ca="1"/>
        <v>139</v>
      </c>
      <c r="R128" s="2">
        <f ca="1"/>
        <v>115</v>
      </c>
      <c r="S128" s="2">
        <f ca="1"/>
        <v>125</v>
      </c>
      <c r="T128" s="2">
        <f ca="1"/>
        <v>95</v>
      </c>
      <c r="U128" s="2">
        <f ca="1"/>
        <v>96</v>
      </c>
      <c r="V128" s="2">
        <f ca="1"/>
        <v>96</v>
      </c>
      <c r="W128" s="2">
        <f ca="1"/>
        <v>6</v>
      </c>
      <c r="X128" s="2">
        <f ca="1"/>
        <v>1</v>
      </c>
      <c r="Y128" s="2">
        <f ca="1"/>
        <v>1</v>
      </c>
      <c r="Z128" s="2">
        <f ca="1"/>
        <v>1</v>
      </c>
      <c r="AZ128" s="4"/>
    </row>
    <row r="129" spans="4:52" ht="17" customHeight="1" x14ac:dyDescent="0.2">
      <c r="D129" s="16" t="s">
        <v>9</v>
      </c>
      <c r="E129" s="35">
        <v>1</v>
      </c>
      <c r="F129" s="4">
        <v>8</v>
      </c>
      <c r="G129" s="2">
        <f ca="1"/>
        <v>1</v>
      </c>
      <c r="H129" s="2">
        <f ca="1"/>
        <v>1</v>
      </c>
      <c r="I129" s="2">
        <f ca="1"/>
        <v>0</v>
      </c>
      <c r="J129" s="2">
        <f ca="1"/>
        <v>18</v>
      </c>
      <c r="K129" s="2">
        <f ca="1"/>
        <v>38</v>
      </c>
      <c r="L129" s="2">
        <f ca="1"/>
        <v>61</v>
      </c>
      <c r="M129" s="2">
        <f ca="1"/>
        <v>90</v>
      </c>
      <c r="N129" s="2">
        <f ca="1"/>
        <v>107</v>
      </c>
      <c r="O129" s="2">
        <f ca="1"/>
        <v>84</v>
      </c>
      <c r="P129" s="2">
        <f ca="1"/>
        <v>107</v>
      </c>
      <c r="Q129" s="2">
        <f ca="1"/>
        <v>139</v>
      </c>
      <c r="R129" s="2">
        <f ca="1"/>
        <v>107</v>
      </c>
      <c r="S129" s="2">
        <f ca="1"/>
        <v>131</v>
      </c>
      <c r="T129" s="2">
        <f ca="1"/>
        <v>139</v>
      </c>
      <c r="U129" s="2">
        <f ca="1"/>
        <v>118</v>
      </c>
      <c r="V129" s="2">
        <f ca="1"/>
        <v>87</v>
      </c>
      <c r="W129" s="2">
        <f ca="1"/>
        <v>48</v>
      </c>
      <c r="X129" s="2">
        <f ca="1"/>
        <v>0</v>
      </c>
      <c r="Y129" s="2">
        <f ca="1"/>
        <v>1</v>
      </c>
      <c r="Z129" s="2">
        <f ca="1"/>
        <v>1</v>
      </c>
      <c r="AE129" s="2" t="s">
        <v>4</v>
      </c>
      <c r="AI129" s="2" t="s">
        <v>7</v>
      </c>
      <c r="AM129" s="2" t="s">
        <v>6</v>
      </c>
      <c r="AP129" s="4"/>
      <c r="AQ129" s="4"/>
      <c r="AR129" s="4"/>
      <c r="AS129" s="4"/>
      <c r="AZ129" s="4"/>
    </row>
    <row r="130" spans="4:52" ht="17" customHeight="1" x14ac:dyDescent="0.2">
      <c r="D130" s="16" t="s">
        <v>10</v>
      </c>
      <c r="E130" s="35">
        <v>0</v>
      </c>
      <c r="F130" s="4">
        <v>9</v>
      </c>
      <c r="G130" s="2">
        <f ca="1"/>
        <v>1</v>
      </c>
      <c r="H130" s="2">
        <f ca="1"/>
        <v>1</v>
      </c>
      <c r="I130" s="2">
        <f ca="1"/>
        <v>0</v>
      </c>
      <c r="J130" s="2">
        <f ca="1"/>
        <v>34</v>
      </c>
      <c r="K130" s="2">
        <f ca="1"/>
        <v>25</v>
      </c>
      <c r="L130" s="2">
        <f ca="1"/>
        <v>78</v>
      </c>
      <c r="M130" s="2">
        <f ca="1"/>
        <v>92</v>
      </c>
      <c r="N130" s="2">
        <f ca="1"/>
        <v>95</v>
      </c>
      <c r="O130" s="2">
        <f ca="1"/>
        <v>77</v>
      </c>
      <c r="P130" s="2">
        <f ca="1"/>
        <v>99</v>
      </c>
      <c r="Q130" s="2">
        <f ca="1"/>
        <v>123</v>
      </c>
      <c r="R130" s="2">
        <f ca="1"/>
        <v>87</v>
      </c>
      <c r="S130" s="2">
        <f ca="1"/>
        <v>101</v>
      </c>
      <c r="T130" s="2">
        <f ca="1"/>
        <v>127</v>
      </c>
      <c r="U130" s="2">
        <f ca="1"/>
        <v>125</v>
      </c>
      <c r="V130" s="2">
        <f ca="1"/>
        <v>54</v>
      </c>
      <c r="W130" s="2">
        <f ca="1"/>
        <v>74</v>
      </c>
      <c r="X130" s="2">
        <f ca="1"/>
        <v>4</v>
      </c>
      <c r="Y130" s="2">
        <f ca="1"/>
        <v>1</v>
      </c>
      <c r="Z130" s="2">
        <f ca="1"/>
        <v>1</v>
      </c>
      <c r="AE130" s="21" cm="1">
        <f t="array" aca="1" ref="AE130:AG132" ca="1">OFFSET(G122,$AE$10-1,$AE$11-1,3,3)</f>
        <v>94</v>
      </c>
      <c r="AF130" s="21">
        <f ca="1"/>
        <v>107</v>
      </c>
      <c r="AG130" s="21">
        <f ca="1"/>
        <v>81</v>
      </c>
      <c r="AH130" s="36"/>
      <c r="AI130" s="21" cm="1">
        <f t="array" aca="1" ref="AI130:AK132" ca="1">ROUND((_xlfn.ANCHORARRAY(AE130)-127.5)/127.5,2)</f>
        <v>-0.26</v>
      </c>
      <c r="AJ130" s="21">
        <f ca="1"/>
        <v>-0.16</v>
      </c>
      <c r="AK130" s="21">
        <f ca="1"/>
        <v>-0.36</v>
      </c>
      <c r="AL130" s="36"/>
      <c r="AM130" s="21" cm="1">
        <f t="array" aca="1" ref="AM130:AM138" ca="1">ROUND(_xlfn.TOCOL(_xlfn.ANCHORARRAY(AI130)),2)</f>
        <v>-0.26</v>
      </c>
      <c r="AP130" s="4"/>
      <c r="AQ130" s="4"/>
      <c r="AR130" s="4"/>
      <c r="AS130" s="4"/>
      <c r="AV130" s="185" t="s">
        <v>127</v>
      </c>
      <c r="AW130" s="184" t="s">
        <v>5</v>
      </c>
      <c r="AZ130" s="4"/>
    </row>
    <row r="131" spans="4:52" ht="17" customHeight="1" x14ac:dyDescent="0.2">
      <c r="F131" s="4">
        <v>10</v>
      </c>
      <c r="G131" s="2">
        <f ca="1"/>
        <v>1</v>
      </c>
      <c r="H131" s="2">
        <f ca="1"/>
        <v>0</v>
      </c>
      <c r="I131" s="2">
        <f ca="1"/>
        <v>7</v>
      </c>
      <c r="J131" s="2">
        <f ca="1"/>
        <v>35</v>
      </c>
      <c r="K131" s="2">
        <f ca="1"/>
        <v>19</v>
      </c>
      <c r="L131" s="2">
        <f ca="1"/>
        <v>97</v>
      </c>
      <c r="M131" s="2">
        <f ca="1"/>
        <v>116</v>
      </c>
      <c r="N131" s="2">
        <f ca="1"/>
        <v>104</v>
      </c>
      <c r="O131" s="2">
        <f ca="1"/>
        <v>95</v>
      </c>
      <c r="P131" s="2">
        <f ca="1"/>
        <v>108</v>
      </c>
      <c r="Q131" s="2">
        <f ca="1"/>
        <v>108</v>
      </c>
      <c r="R131" s="2">
        <f ca="1"/>
        <v>113</v>
      </c>
      <c r="S131" s="2">
        <f ca="1"/>
        <v>125</v>
      </c>
      <c r="T131" s="2">
        <f ca="1"/>
        <v>140</v>
      </c>
      <c r="U131" s="2">
        <f ca="1"/>
        <v>135</v>
      </c>
      <c r="V131" s="2">
        <f ca="1"/>
        <v>50</v>
      </c>
      <c r="W131" s="2">
        <f ca="1"/>
        <v>63</v>
      </c>
      <c r="X131" s="2">
        <f ca="1"/>
        <v>22</v>
      </c>
      <c r="Y131" s="2">
        <f ca="1"/>
        <v>0</v>
      </c>
      <c r="Z131" s="2">
        <f ca="1"/>
        <v>1</v>
      </c>
      <c r="AE131" s="21">
        <f ca="1"/>
        <v>99</v>
      </c>
      <c r="AF131" s="21">
        <f ca="1"/>
        <v>77</v>
      </c>
      <c r="AG131" s="21">
        <f ca="1"/>
        <v>78</v>
      </c>
      <c r="AH131" s="36"/>
      <c r="AI131" s="21">
        <f ca="1"/>
        <v>-0.22</v>
      </c>
      <c r="AJ131" s="21">
        <f ca="1"/>
        <v>-0.4</v>
      </c>
      <c r="AK131" s="21">
        <f ca="1"/>
        <v>-0.39</v>
      </c>
      <c r="AL131" s="36"/>
      <c r="AM131" s="21">
        <f ca="1"/>
        <v>-0.16</v>
      </c>
      <c r="AP131" s="4"/>
      <c r="AQ131" s="4"/>
      <c r="AR131" s="4"/>
      <c r="AS131" s="4"/>
      <c r="AV131" s="183">
        <v>1</v>
      </c>
      <c r="AW131" s="168">
        <f ca="1">CE_epoch1</f>
        <v>0.47339147444791946</v>
      </c>
      <c r="AZ131" s="4"/>
    </row>
    <row r="132" spans="4:52" ht="17" customHeight="1" x14ac:dyDescent="0.2">
      <c r="F132" s="4">
        <v>11</v>
      </c>
      <c r="G132" s="2">
        <f ca="1"/>
        <v>1</v>
      </c>
      <c r="H132" s="2">
        <f ca="1"/>
        <v>0</v>
      </c>
      <c r="I132" s="2">
        <f ca="1"/>
        <v>19</v>
      </c>
      <c r="J132" s="2">
        <f ca="1"/>
        <v>27</v>
      </c>
      <c r="K132" s="2">
        <f ca="1"/>
        <v>50</v>
      </c>
      <c r="L132" s="2">
        <f ca="1"/>
        <v>121</v>
      </c>
      <c r="M132" s="2">
        <f ca="1"/>
        <v>119</v>
      </c>
      <c r="N132" s="2">
        <f ca="1"/>
        <v>104</v>
      </c>
      <c r="O132" s="2">
        <f ca="1"/>
        <v>93</v>
      </c>
      <c r="P132" s="2">
        <f ca="1"/>
        <v>122</v>
      </c>
      <c r="Q132" s="2">
        <f ca="1"/>
        <v>137</v>
      </c>
      <c r="R132" s="2">
        <f ca="1"/>
        <v>103</v>
      </c>
      <c r="S132" s="2">
        <f ca="1"/>
        <v>119</v>
      </c>
      <c r="T132" s="2">
        <f ca="1"/>
        <v>147</v>
      </c>
      <c r="U132" s="2">
        <f ca="1"/>
        <v>171</v>
      </c>
      <c r="V132" s="2">
        <f ca="1"/>
        <v>95</v>
      </c>
      <c r="W132" s="2">
        <f ca="1"/>
        <v>40</v>
      </c>
      <c r="X132" s="2">
        <f ca="1"/>
        <v>41</v>
      </c>
      <c r="Y132" s="2">
        <f ca="1"/>
        <v>0</v>
      </c>
      <c r="Z132" s="2">
        <f ca="1"/>
        <v>1</v>
      </c>
      <c r="AE132" s="21">
        <f ca="1"/>
        <v>86</v>
      </c>
      <c r="AF132" s="21">
        <f ca="1"/>
        <v>80</v>
      </c>
      <c r="AG132" s="21">
        <f ca="1"/>
        <v>78</v>
      </c>
      <c r="AH132" s="36"/>
      <c r="AI132" s="21">
        <f ca="1"/>
        <v>-0.33</v>
      </c>
      <c r="AJ132" s="21">
        <f ca="1"/>
        <v>-0.37</v>
      </c>
      <c r="AK132" s="21">
        <f ca="1"/>
        <v>-0.39</v>
      </c>
      <c r="AL132" s="36"/>
      <c r="AM132" s="21">
        <f ca="1"/>
        <v>-0.36</v>
      </c>
      <c r="AP132" s="4"/>
      <c r="AQ132" s="4"/>
      <c r="AR132" s="4"/>
      <c r="AS132" s="4"/>
      <c r="AV132" s="183">
        <v>2</v>
      </c>
      <c r="AW132" s="168">
        <f ca="1">CE_epoch2</f>
        <v>1.0206342442174938</v>
      </c>
      <c r="AX132" s="4"/>
      <c r="AY132" s="4"/>
      <c r="AZ132" s="4"/>
    </row>
    <row r="133" spans="4:52" ht="17" customHeight="1" x14ac:dyDescent="0.2">
      <c r="F133" s="4">
        <v>12</v>
      </c>
      <c r="G133" s="2">
        <f ca="1"/>
        <v>1</v>
      </c>
      <c r="H133" s="2">
        <f ca="1"/>
        <v>0</v>
      </c>
      <c r="I133" s="2">
        <f ca="1"/>
        <v>35</v>
      </c>
      <c r="J133" s="2">
        <f ca="1"/>
        <v>31</v>
      </c>
      <c r="K133" s="2">
        <f ca="1"/>
        <v>90</v>
      </c>
      <c r="L133" s="2">
        <f ca="1"/>
        <v>128</v>
      </c>
      <c r="M133" s="2">
        <f ca="1"/>
        <v>125</v>
      </c>
      <c r="N133" s="2">
        <f ca="1"/>
        <v>94</v>
      </c>
      <c r="O133" s="2">
        <f ca="1"/>
        <v>70</v>
      </c>
      <c r="P133" s="2">
        <f ca="1"/>
        <v>106</v>
      </c>
      <c r="Q133" s="2">
        <f ca="1"/>
        <v>126</v>
      </c>
      <c r="R133" s="2">
        <f ca="1"/>
        <v>86</v>
      </c>
      <c r="S133" s="2">
        <f ca="1"/>
        <v>100</v>
      </c>
      <c r="T133" s="2">
        <f ca="1"/>
        <v>133</v>
      </c>
      <c r="U133" s="2">
        <f ca="1"/>
        <v>160</v>
      </c>
      <c r="V133" s="2">
        <f ca="1"/>
        <v>127</v>
      </c>
      <c r="W133" s="2">
        <f ca="1"/>
        <v>32</v>
      </c>
      <c r="X133" s="2">
        <f ca="1"/>
        <v>50</v>
      </c>
      <c r="Y133" s="2">
        <f ca="1"/>
        <v>0</v>
      </c>
      <c r="Z133" s="2">
        <f ca="1"/>
        <v>1</v>
      </c>
      <c r="AE133" s="36"/>
      <c r="AF133" s="36"/>
      <c r="AG133" s="36"/>
      <c r="AH133" s="36"/>
      <c r="AI133" s="36"/>
      <c r="AJ133" s="36"/>
      <c r="AK133" s="36"/>
      <c r="AL133" s="36"/>
      <c r="AM133" s="21">
        <f ca="1"/>
        <v>-0.22</v>
      </c>
      <c r="AP133" s="4"/>
      <c r="AQ133" s="4"/>
      <c r="AR133" s="4"/>
      <c r="AS133" s="4"/>
      <c r="AV133" s="183">
        <v>3</v>
      </c>
      <c r="AW133" s="168">
        <f ca="1">CE_epoch3</f>
        <v>0.6808679656145411</v>
      </c>
      <c r="AX133" s="4"/>
      <c r="AY133" s="4"/>
      <c r="AZ133" s="4"/>
    </row>
    <row r="134" spans="4:52" ht="17" customHeight="1" x14ac:dyDescent="0.2">
      <c r="F134" s="4">
        <v>13</v>
      </c>
      <c r="G134" s="2">
        <f ca="1"/>
        <v>1</v>
      </c>
      <c r="H134" s="2">
        <f ca="1"/>
        <v>0</v>
      </c>
      <c r="I134" s="2">
        <f ca="1"/>
        <v>45</v>
      </c>
      <c r="J134" s="2">
        <f ca="1"/>
        <v>45</v>
      </c>
      <c r="K134" s="2">
        <f ca="1"/>
        <v>97</v>
      </c>
      <c r="L134" s="2">
        <f ca="1"/>
        <v>113</v>
      </c>
      <c r="M134" s="2">
        <f ca="1"/>
        <v>128</v>
      </c>
      <c r="N134" s="2">
        <f ca="1"/>
        <v>89</v>
      </c>
      <c r="O134" s="2">
        <f ca="1"/>
        <v>72</v>
      </c>
      <c r="P134" s="2">
        <f ca="1"/>
        <v>102</v>
      </c>
      <c r="Q134" s="2">
        <f ca="1"/>
        <v>111</v>
      </c>
      <c r="R134" s="2">
        <f ca="1"/>
        <v>72</v>
      </c>
      <c r="S134" s="2">
        <f ca="1"/>
        <v>85</v>
      </c>
      <c r="T134" s="2">
        <f ca="1"/>
        <v>129</v>
      </c>
      <c r="U134" s="2">
        <f ca="1"/>
        <v>126</v>
      </c>
      <c r="V134" s="2">
        <f ca="1"/>
        <v>107</v>
      </c>
      <c r="W134" s="2">
        <f ca="1"/>
        <v>44</v>
      </c>
      <c r="X134" s="2">
        <f ca="1"/>
        <v>51</v>
      </c>
      <c r="Y134" s="2">
        <f ca="1"/>
        <v>1</v>
      </c>
      <c r="Z134" s="2">
        <f ca="1"/>
        <v>1</v>
      </c>
      <c r="AE134" s="36"/>
      <c r="AF134" s="36"/>
      <c r="AG134" s="36"/>
      <c r="AH134" s="36"/>
      <c r="AI134" s="36"/>
      <c r="AJ134" s="36"/>
      <c r="AK134" s="36"/>
      <c r="AL134" s="36"/>
      <c r="AM134" s="21">
        <f ca="1"/>
        <v>-0.4</v>
      </c>
      <c r="AP134" s="4"/>
      <c r="AQ134" s="4"/>
      <c r="AR134" s="4"/>
      <c r="AS134" s="4"/>
      <c r="AV134" s="15">
        <v>4</v>
      </c>
      <c r="AW134" s="95">
        <f ca="1">CE_epoch4</f>
        <v>0.26841697001125436</v>
      </c>
    </row>
    <row r="135" spans="4:52" ht="17" customHeight="1" x14ac:dyDescent="0.2">
      <c r="F135" s="4">
        <v>14</v>
      </c>
      <c r="G135" s="2">
        <f ca="1"/>
        <v>1</v>
      </c>
      <c r="H135" s="2">
        <f ca="1"/>
        <v>1</v>
      </c>
      <c r="I135" s="2">
        <f ca="1"/>
        <v>53</v>
      </c>
      <c r="J135" s="2">
        <f ca="1"/>
        <v>65</v>
      </c>
      <c r="K135" s="2">
        <f ca="1"/>
        <v>100</v>
      </c>
      <c r="L135" s="2">
        <f ca="1"/>
        <v>94</v>
      </c>
      <c r="M135" s="2">
        <f ca="1"/>
        <v>116</v>
      </c>
      <c r="N135" s="2">
        <f ca="1"/>
        <v>97</v>
      </c>
      <c r="O135" s="2">
        <f ca="1"/>
        <v>98</v>
      </c>
      <c r="P135" s="2">
        <f ca="1"/>
        <v>121</v>
      </c>
      <c r="Q135" s="2">
        <f ca="1"/>
        <v>121</v>
      </c>
      <c r="R135" s="2">
        <f ca="1"/>
        <v>92</v>
      </c>
      <c r="S135" s="2">
        <f ca="1"/>
        <v>93</v>
      </c>
      <c r="T135" s="2">
        <f ca="1"/>
        <v>119</v>
      </c>
      <c r="U135" s="2">
        <f ca="1"/>
        <v>106</v>
      </c>
      <c r="V135" s="2">
        <f ca="1"/>
        <v>94</v>
      </c>
      <c r="W135" s="2">
        <f ca="1"/>
        <v>59</v>
      </c>
      <c r="X135" s="2">
        <f ca="1"/>
        <v>48</v>
      </c>
      <c r="Y135" s="2">
        <f ca="1"/>
        <v>3</v>
      </c>
      <c r="Z135" s="2">
        <f ca="1"/>
        <v>1</v>
      </c>
      <c r="AE135" s="36"/>
      <c r="AF135" s="36"/>
      <c r="AG135" s="36"/>
      <c r="AH135" s="36"/>
      <c r="AI135" s="36"/>
      <c r="AJ135" s="36"/>
      <c r="AK135" s="36"/>
      <c r="AL135" s="36"/>
      <c r="AM135" s="21">
        <f ca="1"/>
        <v>-0.39</v>
      </c>
    </row>
    <row r="136" spans="4:52" ht="17" customHeight="1" x14ac:dyDescent="0.2">
      <c r="F136" s="4">
        <v>15</v>
      </c>
      <c r="G136" s="2">
        <f ca="1"/>
        <v>1</v>
      </c>
      <c r="H136" s="2">
        <f ca="1"/>
        <v>1</v>
      </c>
      <c r="I136" s="2">
        <f ca="1"/>
        <v>63</v>
      </c>
      <c r="J136" s="2">
        <f ca="1"/>
        <v>77</v>
      </c>
      <c r="K136" s="2">
        <f ca="1"/>
        <v>110</v>
      </c>
      <c r="L136" s="2">
        <f ca="1"/>
        <v>106</v>
      </c>
      <c r="M136" s="2">
        <f ca="1"/>
        <v>96</v>
      </c>
      <c r="N136" s="2">
        <f ca="1"/>
        <v>115</v>
      </c>
      <c r="O136" s="2">
        <f ca="1"/>
        <v>124</v>
      </c>
      <c r="P136" s="2">
        <f ca="1"/>
        <v>124</v>
      </c>
      <c r="Q136" s="2">
        <f ca="1"/>
        <v>122</v>
      </c>
      <c r="R136" s="2">
        <f ca="1"/>
        <v>106</v>
      </c>
      <c r="S136" s="2">
        <f ca="1"/>
        <v>94</v>
      </c>
      <c r="T136" s="2">
        <f ca="1"/>
        <v>91</v>
      </c>
      <c r="U136" s="2">
        <f ca="1"/>
        <v>90</v>
      </c>
      <c r="V136" s="2">
        <f ca="1"/>
        <v>83</v>
      </c>
      <c r="W136" s="2">
        <f ca="1"/>
        <v>59</v>
      </c>
      <c r="X136" s="2">
        <f ca="1"/>
        <v>51</v>
      </c>
      <c r="Y136" s="2">
        <f ca="1"/>
        <v>4</v>
      </c>
      <c r="Z136" s="2">
        <f ca="1"/>
        <v>1</v>
      </c>
      <c r="AE136" s="36"/>
      <c r="AF136" s="36"/>
      <c r="AG136" s="36"/>
      <c r="AH136" s="36"/>
      <c r="AI136" s="36"/>
      <c r="AJ136" s="36"/>
      <c r="AK136" s="36"/>
      <c r="AL136" s="36"/>
      <c r="AM136" s="21">
        <f ca="1"/>
        <v>-0.33</v>
      </c>
    </row>
    <row r="137" spans="4:52" ht="17" customHeight="1" x14ac:dyDescent="0.2">
      <c r="F137" s="4">
        <v>16</v>
      </c>
      <c r="G137" s="2">
        <f ca="1"/>
        <v>1</v>
      </c>
      <c r="H137" s="2">
        <f ca="1"/>
        <v>0</v>
      </c>
      <c r="I137" s="2">
        <f ca="1"/>
        <v>67</v>
      </c>
      <c r="J137" s="2">
        <f ca="1"/>
        <v>81</v>
      </c>
      <c r="K137" s="2">
        <f ca="1"/>
        <v>130</v>
      </c>
      <c r="L137" s="2">
        <f ca="1"/>
        <v>115</v>
      </c>
      <c r="M137" s="2">
        <f ca="1"/>
        <v>103</v>
      </c>
      <c r="N137" s="2">
        <f ca="1"/>
        <v>170</v>
      </c>
      <c r="O137" s="2">
        <f ca="1"/>
        <v>133</v>
      </c>
      <c r="P137" s="2">
        <f ca="1"/>
        <v>100</v>
      </c>
      <c r="Q137" s="2">
        <f ca="1"/>
        <v>83</v>
      </c>
      <c r="R137" s="2">
        <f ca="1"/>
        <v>111</v>
      </c>
      <c r="S137" s="2">
        <f ca="1"/>
        <v>143</v>
      </c>
      <c r="T137" s="2">
        <f ca="1"/>
        <v>82</v>
      </c>
      <c r="U137" s="2">
        <f ca="1"/>
        <v>84</v>
      </c>
      <c r="V137" s="2">
        <f ca="1"/>
        <v>84</v>
      </c>
      <c r="W137" s="2">
        <f ca="1"/>
        <v>53</v>
      </c>
      <c r="X137" s="2">
        <f ca="1"/>
        <v>48</v>
      </c>
      <c r="Y137" s="2">
        <f ca="1"/>
        <v>1</v>
      </c>
      <c r="Z137" s="2">
        <f ca="1"/>
        <v>1</v>
      </c>
      <c r="AE137" s="36"/>
      <c r="AF137" s="36"/>
      <c r="AG137" s="36"/>
      <c r="AH137" s="36"/>
      <c r="AI137" s="36"/>
      <c r="AJ137" s="36"/>
      <c r="AK137" s="36"/>
      <c r="AL137" s="36"/>
      <c r="AM137" s="21">
        <f ca="1"/>
        <v>-0.37</v>
      </c>
    </row>
    <row r="138" spans="4:52" ht="17" customHeight="1" x14ac:dyDescent="0.2">
      <c r="F138" s="4">
        <v>17</v>
      </c>
      <c r="G138" s="2">
        <f ca="1"/>
        <v>1</v>
      </c>
      <c r="H138" s="2">
        <f ca="1"/>
        <v>0</v>
      </c>
      <c r="I138" s="2">
        <f ca="1"/>
        <v>59</v>
      </c>
      <c r="J138" s="2">
        <f ca="1"/>
        <v>82</v>
      </c>
      <c r="K138" s="2">
        <f ca="1"/>
        <v>126</v>
      </c>
      <c r="L138" s="2">
        <f ca="1"/>
        <v>120</v>
      </c>
      <c r="M138" s="2">
        <f ca="1"/>
        <v>107</v>
      </c>
      <c r="N138" s="2">
        <f ca="1"/>
        <v>123</v>
      </c>
      <c r="O138" s="2">
        <f ca="1"/>
        <v>130</v>
      </c>
      <c r="P138" s="2">
        <f ca="1"/>
        <v>116</v>
      </c>
      <c r="Q138" s="2">
        <f ca="1"/>
        <v>98</v>
      </c>
      <c r="R138" s="2">
        <f ca="1"/>
        <v>94</v>
      </c>
      <c r="S138" s="2">
        <f ca="1"/>
        <v>107</v>
      </c>
      <c r="T138" s="2">
        <f ca="1"/>
        <v>81</v>
      </c>
      <c r="U138" s="2">
        <f ca="1"/>
        <v>92</v>
      </c>
      <c r="V138" s="2">
        <f ca="1"/>
        <v>81</v>
      </c>
      <c r="W138" s="2">
        <f ca="1"/>
        <v>44</v>
      </c>
      <c r="X138" s="2">
        <f ca="1"/>
        <v>39</v>
      </c>
      <c r="Y138" s="2">
        <f ca="1"/>
        <v>0</v>
      </c>
      <c r="Z138" s="2">
        <f ca="1"/>
        <v>1</v>
      </c>
      <c r="AE138" s="36"/>
      <c r="AF138" s="36"/>
      <c r="AG138" s="36"/>
      <c r="AH138" s="36"/>
      <c r="AI138" s="36"/>
      <c r="AJ138" s="36"/>
      <c r="AK138" s="36"/>
      <c r="AL138" s="36"/>
      <c r="AM138" s="21">
        <f ca="1"/>
        <v>-0.39</v>
      </c>
    </row>
    <row r="139" spans="4:52" ht="17" customHeight="1" x14ac:dyDescent="0.2">
      <c r="F139" s="4">
        <v>18</v>
      </c>
      <c r="G139" s="2">
        <f ca="1"/>
        <v>1</v>
      </c>
      <c r="H139" s="2">
        <f ca="1"/>
        <v>0</v>
      </c>
      <c r="I139" s="2">
        <f ca="1"/>
        <v>20</v>
      </c>
      <c r="J139" s="2">
        <f ca="1"/>
        <v>113</v>
      </c>
      <c r="K139" s="2">
        <f ca="1"/>
        <v>92</v>
      </c>
      <c r="L139" s="2">
        <f ca="1"/>
        <v>117</v>
      </c>
      <c r="M139" s="2">
        <f ca="1"/>
        <v>103</v>
      </c>
      <c r="N139" s="2">
        <f ca="1"/>
        <v>114</v>
      </c>
      <c r="O139" s="2">
        <f ca="1"/>
        <v>128</v>
      </c>
      <c r="P139" s="2">
        <f ca="1"/>
        <v>122</v>
      </c>
      <c r="Q139" s="2">
        <f ca="1"/>
        <v>113</v>
      </c>
      <c r="R139" s="2">
        <f ca="1"/>
        <v>99</v>
      </c>
      <c r="S139" s="2">
        <f ca="1"/>
        <v>77</v>
      </c>
      <c r="T139" s="2">
        <f ca="1"/>
        <v>78</v>
      </c>
      <c r="U139" s="2">
        <f ca="1"/>
        <v>85</v>
      </c>
      <c r="V139" s="2">
        <f ca="1"/>
        <v>57</v>
      </c>
      <c r="W139" s="2">
        <f ca="1"/>
        <v>55</v>
      </c>
      <c r="X139" s="2">
        <f ca="1"/>
        <v>16</v>
      </c>
      <c r="Y139" s="2">
        <f ca="1"/>
        <v>0</v>
      </c>
      <c r="Z139" s="2">
        <f ca="1"/>
        <v>1</v>
      </c>
      <c r="AM139" s="20">
        <v>1</v>
      </c>
    </row>
    <row r="140" spans="4:52" ht="17" customHeight="1" x14ac:dyDescent="0.15">
      <c r="F140" s="4">
        <v>19</v>
      </c>
      <c r="G140" s="2">
        <f ca="1"/>
        <v>1</v>
      </c>
      <c r="H140" s="2">
        <f ca="1"/>
        <v>1</v>
      </c>
      <c r="I140" s="2">
        <f ca="1"/>
        <v>0</v>
      </c>
      <c r="J140" s="2">
        <f ca="1"/>
        <v>102</v>
      </c>
      <c r="K140" s="2">
        <f ca="1"/>
        <v>93</v>
      </c>
      <c r="L140" s="2">
        <f ca="1"/>
        <v>123</v>
      </c>
      <c r="M140" s="2">
        <f ca="1"/>
        <v>113</v>
      </c>
      <c r="N140" s="2">
        <f ca="1"/>
        <v>109</v>
      </c>
      <c r="O140" s="2">
        <f ca="1"/>
        <v>120</v>
      </c>
      <c r="P140" s="2">
        <f ca="1"/>
        <v>114</v>
      </c>
      <c r="Q140" s="2">
        <f ca="1"/>
        <v>96</v>
      </c>
      <c r="R140" s="2">
        <f ca="1"/>
        <v>86</v>
      </c>
      <c r="S140" s="2">
        <f ca="1"/>
        <v>80</v>
      </c>
      <c r="T140" s="2">
        <f ca="1"/>
        <v>78</v>
      </c>
      <c r="U140" s="2">
        <f ca="1"/>
        <v>72</v>
      </c>
      <c r="V140" s="2">
        <f ca="1"/>
        <v>51</v>
      </c>
      <c r="W140" s="2">
        <f ca="1"/>
        <v>52</v>
      </c>
      <c r="X140" s="2">
        <f ca="1"/>
        <v>0</v>
      </c>
      <c r="Y140" s="2">
        <f ca="1"/>
        <v>1</v>
      </c>
      <c r="Z140" s="2">
        <f ca="1"/>
        <v>1</v>
      </c>
      <c r="AB140" s="45"/>
    </row>
    <row r="141" spans="4:52" ht="17" customHeight="1" x14ac:dyDescent="0.2">
      <c r="F141" s="4">
        <v>20</v>
      </c>
      <c r="G141" s="2">
        <f ca="1"/>
        <v>1</v>
      </c>
      <c r="H141" s="2">
        <f ca="1"/>
        <v>1</v>
      </c>
      <c r="I141" s="2">
        <f ca="1"/>
        <v>0</v>
      </c>
      <c r="J141" s="2">
        <f ca="1"/>
        <v>25</v>
      </c>
      <c r="K141" s="2">
        <f ca="1"/>
        <v>148</v>
      </c>
      <c r="L141" s="2">
        <f ca="1"/>
        <v>73</v>
      </c>
      <c r="M141" s="2">
        <f ca="1"/>
        <v>114</v>
      </c>
      <c r="N141" s="2">
        <f ca="1"/>
        <v>121</v>
      </c>
      <c r="O141" s="2">
        <f ca="1"/>
        <v>116</v>
      </c>
      <c r="P141" s="2">
        <f ca="1"/>
        <v>108</v>
      </c>
      <c r="Q141" s="2">
        <f ca="1"/>
        <v>96</v>
      </c>
      <c r="R141" s="2">
        <f ca="1"/>
        <v>88</v>
      </c>
      <c r="S141" s="2">
        <f ca="1"/>
        <v>89</v>
      </c>
      <c r="T141" s="2">
        <f ca="1"/>
        <v>70</v>
      </c>
      <c r="U141" s="2">
        <f ca="1"/>
        <v>45</v>
      </c>
      <c r="V141" s="2">
        <f ca="1"/>
        <v>82</v>
      </c>
      <c r="W141" s="2">
        <f ca="1"/>
        <v>11</v>
      </c>
      <c r="X141" s="2">
        <f ca="1"/>
        <v>0</v>
      </c>
      <c r="Y141" s="2">
        <f ca="1"/>
        <v>1</v>
      </c>
      <c r="Z141" s="2">
        <f ca="1"/>
        <v>1</v>
      </c>
      <c r="AB141" s="2" t="s">
        <v>0</v>
      </c>
      <c r="AK141" s="2" t="s">
        <v>1</v>
      </c>
      <c r="AM141" s="2" t="s">
        <v>24</v>
      </c>
      <c r="AO141" s="2" t="s">
        <v>63</v>
      </c>
      <c r="AP141" s="2" t="s">
        <v>92</v>
      </c>
      <c r="AQ141" s="2" t="s">
        <v>26</v>
      </c>
      <c r="AS141" s="136"/>
      <c r="AU141" s="136"/>
    </row>
    <row r="142" spans="4:52" ht="17" customHeight="1" x14ac:dyDescent="0.2">
      <c r="F142" s="4">
        <v>21</v>
      </c>
      <c r="G142" s="2">
        <f ca="1"/>
        <v>1</v>
      </c>
      <c r="H142" s="2">
        <f ca="1"/>
        <v>1</v>
      </c>
      <c r="I142" s="2">
        <f ca="1"/>
        <v>1</v>
      </c>
      <c r="J142" s="2">
        <f ca="1"/>
        <v>0</v>
      </c>
      <c r="K142" s="2">
        <f ca="1"/>
        <v>70</v>
      </c>
      <c r="L142" s="2">
        <f ca="1"/>
        <v>162</v>
      </c>
      <c r="M142" s="2">
        <f ca="1"/>
        <v>67</v>
      </c>
      <c r="N142" s="2">
        <f ca="1"/>
        <v>57</v>
      </c>
      <c r="O142" s="2">
        <f ca="1"/>
        <v>64</v>
      </c>
      <c r="P142" s="2">
        <f ca="1"/>
        <v>44</v>
      </c>
      <c r="Q142" s="2">
        <f ca="1"/>
        <v>55</v>
      </c>
      <c r="R142" s="2">
        <f ca="1"/>
        <v>50</v>
      </c>
      <c r="S142" s="2">
        <f ca="1"/>
        <v>37</v>
      </c>
      <c r="T142" s="2">
        <f ca="1"/>
        <v>47</v>
      </c>
      <c r="U142" s="2">
        <f ca="1"/>
        <v>92</v>
      </c>
      <c r="V142" s="2">
        <f ca="1"/>
        <v>26</v>
      </c>
      <c r="W142" s="2">
        <f ca="1"/>
        <v>0</v>
      </c>
      <c r="X142" s="2">
        <f ca="1"/>
        <v>1</v>
      </c>
      <c r="Y142" s="2">
        <f ca="1"/>
        <v>1</v>
      </c>
      <c r="Z142" s="2">
        <f ca="1"/>
        <v>1</v>
      </c>
      <c r="AB142" s="20" cm="1">
        <f t="array" aca="1" ref="AB142:AK145" ca="1">_xlfn.ANCHORARRAY(AB113)</f>
        <v>0.64</v>
      </c>
      <c r="AC142" s="20">
        <f ca="1"/>
        <v>0.48</v>
      </c>
      <c r="AD142" s="20">
        <f ca="1"/>
        <v>-0.14000000000000001</v>
      </c>
      <c r="AE142" s="20">
        <f ca="1"/>
        <v>0.24</v>
      </c>
      <c r="AF142" s="20">
        <f ca="1"/>
        <v>0.52</v>
      </c>
      <c r="AG142" s="20">
        <f ca="1"/>
        <v>0.12</v>
      </c>
      <c r="AH142" s="20">
        <f ca="1"/>
        <v>-0.82</v>
      </c>
      <c r="AI142" s="20">
        <f ca="1"/>
        <v>0.17</v>
      </c>
      <c r="AJ142" s="20">
        <f ca="1"/>
        <v>0.15</v>
      </c>
      <c r="AK142" s="20">
        <f ca="1"/>
        <v>-0.57999999999999996</v>
      </c>
      <c r="AM142" s="20" cm="1">
        <f t="array" aca="1" ref="AM142:AM145" ca="1">ROUND(MMULT(_xlfn.ANCHORARRAY(AB142),$AM$130:$AM$139),2)</f>
        <v>-0.93</v>
      </c>
      <c r="AO142" s="20" cm="1">
        <f t="array" aca="1" ref="AO142:AO145" ca="1">EXP(_xlfn.ANCHORARRAY(AM142))/SUM(EXP(_xlfn.ANCHORARRAY(AM142)))</f>
        <v>2.1734367430353653E-2</v>
      </c>
      <c r="AP142" s="20" cm="1">
        <f t="array" ref="AP142:AP145">_xlfn.ANCHORARRAY(E127)</f>
        <v>0</v>
      </c>
      <c r="AQ142" s="101" cm="1">
        <f t="array" aca="1" ref="AQ142" ca="1">-SUMPRODUCT(_xlfn.ANCHORARRAY(AP142), LN(_xlfn.ANCHORARRAY(AO142)))</f>
        <v>2.4788605186983448</v>
      </c>
    </row>
    <row r="143" spans="4:52" ht="17" customHeight="1" x14ac:dyDescent="0.2">
      <c r="F143" s="4">
        <v>22</v>
      </c>
      <c r="G143" s="2">
        <f ca="1"/>
        <v>1</v>
      </c>
      <c r="H143" s="2">
        <f ca="1"/>
        <v>1</v>
      </c>
      <c r="I143" s="2">
        <f ca="1"/>
        <v>1</v>
      </c>
      <c r="J143" s="2">
        <f ca="1"/>
        <v>1</v>
      </c>
      <c r="K143" s="2">
        <f ca="1"/>
        <v>0</v>
      </c>
      <c r="L143" s="2">
        <f ca="1"/>
        <v>56</v>
      </c>
      <c r="M143" s="2">
        <f ca="1"/>
        <v>129</v>
      </c>
      <c r="N143" s="2">
        <f ca="1"/>
        <v>66</v>
      </c>
      <c r="O143" s="2">
        <f ca="1"/>
        <v>51</v>
      </c>
      <c r="P143" s="2">
        <f ca="1"/>
        <v>66</v>
      </c>
      <c r="Q143" s="2">
        <f ca="1"/>
        <v>61</v>
      </c>
      <c r="R143" s="2">
        <f ca="1"/>
        <v>71</v>
      </c>
      <c r="S143" s="2">
        <f ca="1"/>
        <v>90</v>
      </c>
      <c r="T143" s="2">
        <f ca="1"/>
        <v>82</v>
      </c>
      <c r="U143" s="2">
        <f ca="1"/>
        <v>20</v>
      </c>
      <c r="V143" s="2">
        <f ca="1"/>
        <v>0</v>
      </c>
      <c r="W143" s="2">
        <f ca="1"/>
        <v>1</v>
      </c>
      <c r="X143" s="2">
        <f ca="1"/>
        <v>1</v>
      </c>
      <c r="Y143" s="2">
        <f ca="1"/>
        <v>1</v>
      </c>
      <c r="Z143" s="2">
        <f ca="1"/>
        <v>1</v>
      </c>
      <c r="AB143" s="20">
        <f ca="1"/>
        <v>0.53</v>
      </c>
      <c r="AC143" s="20">
        <f ca="1"/>
        <v>-0.98</v>
      </c>
      <c r="AD143" s="20">
        <f ca="1"/>
        <v>-0.74</v>
      </c>
      <c r="AE143" s="20">
        <f ca="1"/>
        <v>-0.01</v>
      </c>
      <c r="AF143" s="20">
        <f ca="1"/>
        <v>-0.18</v>
      </c>
      <c r="AG143" s="20">
        <f ca="1"/>
        <v>-0.71</v>
      </c>
      <c r="AH143" s="20">
        <f ca="1"/>
        <v>-0.67</v>
      </c>
      <c r="AI143" s="20">
        <f ca="1"/>
        <v>-0.82</v>
      </c>
      <c r="AJ143" s="20">
        <f ca="1"/>
        <v>-0.64</v>
      </c>
      <c r="AK143" s="20">
        <f ca="1"/>
        <v>1.19</v>
      </c>
      <c r="AM143" s="20">
        <f ca="1"/>
        <v>2.6</v>
      </c>
      <c r="AO143" s="20">
        <f ca="1"/>
        <v>0.74166285032056023</v>
      </c>
      <c r="AP143" s="20">
        <v>0</v>
      </c>
    </row>
    <row r="144" spans="4:52" ht="17" customHeight="1" x14ac:dyDescent="0.2">
      <c r="F144" s="4">
        <v>23</v>
      </c>
      <c r="G144" s="2">
        <f ca="1"/>
        <v>1</v>
      </c>
      <c r="H144" s="2">
        <f ca="1"/>
        <v>1</v>
      </c>
      <c r="I144" s="2">
        <f ca="1"/>
        <v>1</v>
      </c>
      <c r="J144" s="2">
        <f ca="1"/>
        <v>1</v>
      </c>
      <c r="K144" s="2">
        <f ca="1"/>
        <v>1</v>
      </c>
      <c r="L144" s="2">
        <f ca="1"/>
        <v>0</v>
      </c>
      <c r="M144" s="2">
        <f ca="1"/>
        <v>0</v>
      </c>
      <c r="N144" s="2">
        <f ca="1"/>
        <v>1</v>
      </c>
      <c r="O144" s="2">
        <f ca="1"/>
        <v>6</v>
      </c>
      <c r="P144" s="2">
        <f ca="1"/>
        <v>7</v>
      </c>
      <c r="Q144" s="2">
        <f ca="1"/>
        <v>7</v>
      </c>
      <c r="R144" s="2">
        <f ca="1"/>
        <v>16</v>
      </c>
      <c r="S144" s="2">
        <f ca="1"/>
        <v>13</v>
      </c>
      <c r="T144" s="2">
        <f ca="1"/>
        <v>0</v>
      </c>
      <c r="U144" s="2">
        <f ca="1"/>
        <v>0</v>
      </c>
      <c r="V144" s="2">
        <f ca="1"/>
        <v>1</v>
      </c>
      <c r="W144" s="2">
        <f ca="1"/>
        <v>1</v>
      </c>
      <c r="X144" s="2">
        <f ca="1"/>
        <v>1</v>
      </c>
      <c r="Y144" s="2">
        <f ca="1"/>
        <v>1</v>
      </c>
      <c r="Z144" s="2">
        <f ca="1"/>
        <v>1</v>
      </c>
      <c r="AB144" s="20">
        <f ca="1"/>
        <v>-0.66</v>
      </c>
      <c r="AC144" s="20">
        <f ca="1"/>
        <v>0.1</v>
      </c>
      <c r="AD144" s="20">
        <f ca="1"/>
        <v>0.08</v>
      </c>
      <c r="AE144" s="20">
        <f ca="1"/>
        <v>-0.46</v>
      </c>
      <c r="AF144" s="20">
        <f ca="1"/>
        <v>0.44</v>
      </c>
      <c r="AG144" s="20">
        <f ca="1"/>
        <v>-0.19</v>
      </c>
      <c r="AH144" s="20">
        <f ca="1"/>
        <v>-0.73</v>
      </c>
      <c r="AI144" s="20">
        <f ca="1"/>
        <v>0.23</v>
      </c>
      <c r="AJ144" s="20">
        <f ca="1"/>
        <v>0.02</v>
      </c>
      <c r="AK144" s="20">
        <f ca="1"/>
        <v>0.15</v>
      </c>
      <c r="AM144" s="20">
        <f ca="1"/>
        <v>0.42</v>
      </c>
      <c r="AO144" s="20">
        <f ca="1"/>
        <v>8.3838703819394983E-2</v>
      </c>
      <c r="AP144" s="20">
        <v>1</v>
      </c>
    </row>
    <row r="145" spans="6:42" ht="17" customHeight="1" x14ac:dyDescent="0.2">
      <c r="F145" s="4">
        <v>24</v>
      </c>
      <c r="G145" s="2">
        <f ca="1"/>
        <v>1</v>
      </c>
      <c r="H145" s="2">
        <f ca="1"/>
        <v>1</v>
      </c>
      <c r="I145" s="2">
        <f ca="1"/>
        <v>1</v>
      </c>
      <c r="J145" s="2">
        <f ca="1"/>
        <v>1</v>
      </c>
      <c r="K145" s="2">
        <f ca="1"/>
        <v>1</v>
      </c>
      <c r="L145" s="2">
        <f ca="1"/>
        <v>1</v>
      </c>
      <c r="M145" s="2">
        <f ca="1"/>
        <v>1</v>
      </c>
      <c r="N145" s="2">
        <f ca="1"/>
        <v>1</v>
      </c>
      <c r="O145" s="2">
        <f ca="1"/>
        <v>4</v>
      </c>
      <c r="P145" s="2">
        <f ca="1"/>
        <v>3</v>
      </c>
      <c r="Q145" s="2">
        <f ca="1"/>
        <v>1</v>
      </c>
      <c r="R145" s="2">
        <f ca="1"/>
        <v>0</v>
      </c>
      <c r="S145" s="2">
        <f ca="1"/>
        <v>0</v>
      </c>
      <c r="T145" s="2">
        <f ca="1"/>
        <v>1</v>
      </c>
      <c r="U145" s="2">
        <f ca="1"/>
        <v>1</v>
      </c>
      <c r="V145" s="2">
        <f ca="1"/>
        <v>1</v>
      </c>
      <c r="W145" s="2">
        <f ca="1"/>
        <v>1</v>
      </c>
      <c r="X145" s="2">
        <f ca="1"/>
        <v>1</v>
      </c>
      <c r="Y145" s="2">
        <f ca="1"/>
        <v>1</v>
      </c>
      <c r="Z145" s="2">
        <f ca="1"/>
        <v>1</v>
      </c>
      <c r="AB145" s="20">
        <f ca="1"/>
        <v>-0.04</v>
      </c>
      <c r="AC145" s="20">
        <f ca="1"/>
        <v>-0.73</v>
      </c>
      <c r="AD145" s="20">
        <f ca="1"/>
        <v>-0.86</v>
      </c>
      <c r="AE145" s="20">
        <f ca="1"/>
        <v>0.77</v>
      </c>
      <c r="AF145" s="20">
        <f ca="1"/>
        <v>-0.43</v>
      </c>
      <c r="AG145" s="20">
        <f ca="1"/>
        <v>-7.0000000000000007E-2</v>
      </c>
      <c r="AH145" s="20">
        <f ca="1"/>
        <v>-0.79</v>
      </c>
      <c r="AI145" s="20">
        <f ca="1"/>
        <v>-0.16</v>
      </c>
      <c r="AJ145" s="20">
        <f ca="1"/>
        <v>0.16</v>
      </c>
      <c r="AK145" s="20">
        <f ca="1"/>
        <v>0.3</v>
      </c>
      <c r="AM145" s="20">
        <f ca="1"/>
        <v>1.02</v>
      </c>
      <c r="AO145" s="20">
        <f ca="1"/>
        <v>0.15276407842969117</v>
      </c>
      <c r="AP145" s="20">
        <v>0</v>
      </c>
    </row>
  </sheetData>
  <dataConsolidate/>
  <phoneticPr fontId="34" type="noConversion"/>
  <conditionalFormatting sqref="E14:E17">
    <cfRule type="dataBar" priority="2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{A5CEEFD3-9E1D-9541-9C3E-9947AE674735}</x14:id>
        </ext>
      </extLst>
    </cfRule>
  </conditionalFormatting>
  <conditionalFormatting sqref="E42:E45">
    <cfRule type="dataBar" priority="2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{F9084925-FCFF-6A4C-AAC7-D2696D5A32D1}</x14:id>
        </ext>
      </extLst>
    </cfRule>
  </conditionalFormatting>
  <conditionalFormatting sqref="E70:E73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{E841BE6A-1DE0-A047-A7B0-D3033E0C5AA8}</x14:id>
        </ext>
      </extLst>
    </cfRule>
  </conditionalFormatting>
  <conditionalFormatting sqref="E98:E101">
    <cfRule type="dataBar" priority="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{61DC42FD-FD55-F342-87B9-2CB4D4EF0D14}</x14:id>
        </ext>
      </extLst>
    </cfRule>
  </conditionalFormatting>
  <conditionalFormatting sqref="E127:E130">
    <cfRule type="dataBar" priority="1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{0CB6D829-2F04-CB49-B0B9-A89D06EF7BDE}</x14:id>
        </ext>
      </extLst>
    </cfRule>
  </conditionalFormatting>
  <conditionalFormatting sqref="AB27:AK30">
    <cfRule type="colorScale" priority="56">
      <colorScale>
        <cfvo type="num" val="-1"/>
        <cfvo type="num" val="1"/>
        <color rgb="FFFF7128"/>
        <color rgb="FFFFEF9C"/>
      </colorScale>
    </cfRule>
  </conditionalFormatting>
  <conditionalFormatting sqref="AB55:AK58">
    <cfRule type="colorScale" priority="51">
      <colorScale>
        <cfvo type="num" val="-1"/>
        <cfvo type="num" val="1"/>
        <color rgb="FFFF7128"/>
        <color rgb="FFFFEF9C"/>
      </colorScale>
    </cfRule>
  </conditionalFormatting>
  <conditionalFormatting sqref="AB83:AK86">
    <cfRule type="colorScale" priority="50">
      <colorScale>
        <cfvo type="num" val="-1"/>
        <cfvo type="num" val="1"/>
        <color rgb="FFFF7128"/>
        <color rgb="FFFFEF9C"/>
      </colorScale>
    </cfRule>
  </conditionalFormatting>
  <conditionalFormatting sqref="AB113:AK116">
    <cfRule type="colorScale" priority="49">
      <colorScale>
        <cfvo type="num" val="-1"/>
        <cfvo type="num" val="1"/>
        <color rgb="FFFF7128"/>
        <color rgb="FFFFEF9C"/>
      </colorScale>
    </cfRule>
  </conditionalFormatting>
  <conditionalFormatting sqref="AB142:AK145">
    <cfRule type="colorScale" priority="14">
      <colorScale>
        <cfvo type="num" val="-1"/>
        <cfvo type="num" val="1"/>
        <color rgb="FFFF7128"/>
        <color rgb="FFFFEF9C"/>
      </colorScale>
    </cfRule>
  </conditionalFormatting>
  <conditionalFormatting sqref="AE15:AG17 AV14:AX15 G9:Z32 G37:Z60 G65:Z88 G93:Z116 AB111 G122:Z1048576 AB140">
    <cfRule type="colorScale" priority="58">
      <colorScale>
        <cfvo type="num" val="0"/>
        <cfvo type="num" val="255"/>
        <color theme="1" tint="0.249977111117893"/>
        <color theme="0"/>
      </colorScale>
    </cfRule>
  </conditionalFormatting>
  <conditionalFormatting sqref="AE43:AG45 AV43:AX43">
    <cfRule type="colorScale" priority="32">
      <colorScale>
        <cfvo type="num" val="0"/>
        <cfvo type="num" val="255"/>
        <color theme="1" tint="0.249977111117893"/>
        <color theme="0"/>
      </colorScale>
    </cfRule>
  </conditionalFormatting>
  <conditionalFormatting sqref="AE71:AG73 AV71:AX71">
    <cfRule type="colorScale" priority="30">
      <colorScale>
        <cfvo type="num" val="0"/>
        <cfvo type="num" val="255"/>
        <color theme="1" tint="0.249977111117893"/>
        <color theme="0"/>
      </colorScale>
    </cfRule>
  </conditionalFormatting>
  <conditionalFormatting sqref="AE101:AG103 AV101:AX101">
    <cfRule type="colorScale" priority="28">
      <colorScale>
        <cfvo type="num" val="0"/>
        <cfvo type="num" val="255"/>
        <color theme="1" tint="0.249977111117893"/>
        <color theme="0"/>
      </colorScale>
    </cfRule>
  </conditionalFormatting>
  <conditionalFormatting sqref="AE130:AG132">
    <cfRule type="colorScale" priority="13">
      <colorScale>
        <cfvo type="num" val="0"/>
        <cfvo type="num" val="255"/>
        <color theme="1" tint="0.249977111117893"/>
        <color theme="0"/>
      </colorScale>
    </cfRule>
  </conditionalFormatting>
  <conditionalFormatting sqref="AM27:AM30">
    <cfRule type="colorScale" priority="20">
      <colorScale>
        <cfvo type="num" val="-1"/>
        <cfvo type="num" val="1"/>
        <color rgb="FFFF7128"/>
        <color rgb="FFFFEF9C"/>
      </colorScale>
    </cfRule>
  </conditionalFormatting>
  <conditionalFormatting sqref="AM43:AM52 AU52:BD52 AI43:AK45">
    <cfRule type="colorScale" priority="31">
      <colorScale>
        <cfvo type="num" val="-1"/>
        <cfvo type="num" val="1"/>
        <color theme="1" tint="0.249977111117893"/>
        <color theme="0"/>
      </colorScale>
    </cfRule>
  </conditionalFormatting>
  <conditionalFormatting sqref="AM55:AM58">
    <cfRule type="colorScale" priority="19">
      <colorScale>
        <cfvo type="num" val="-1"/>
        <cfvo type="num" val="1"/>
        <color rgb="FFFF7128"/>
        <color rgb="FFFFEF9C"/>
      </colorScale>
    </cfRule>
  </conditionalFormatting>
  <conditionalFormatting sqref="AM71:AM80 AU80:BD80 AI71:AK73">
    <cfRule type="colorScale" priority="29">
      <colorScale>
        <cfvo type="num" val="-1"/>
        <cfvo type="num" val="1"/>
        <color theme="1" tint="0.249977111117893"/>
        <color theme="0"/>
      </colorScale>
    </cfRule>
  </conditionalFormatting>
  <conditionalFormatting sqref="AM83:AM86">
    <cfRule type="colorScale" priority="18">
      <colorScale>
        <cfvo type="num" val="-1"/>
        <cfvo type="num" val="1"/>
        <color rgb="FFFF7128"/>
        <color rgb="FFFFEF9C"/>
      </colorScale>
    </cfRule>
  </conditionalFormatting>
  <conditionalFormatting sqref="AM101:AM110 AU110:BD110 AI101:AK103">
    <cfRule type="colorScale" priority="27">
      <colorScale>
        <cfvo type="num" val="-1"/>
        <cfvo type="num" val="1"/>
        <color theme="1" tint="0.249977111117893"/>
        <color theme="0"/>
      </colorScale>
    </cfRule>
  </conditionalFormatting>
  <conditionalFormatting sqref="AM113:AM116">
    <cfRule type="colorScale" priority="17">
      <colorScale>
        <cfvo type="num" val="-1"/>
        <cfvo type="num" val="1"/>
        <color rgb="FFFF7128"/>
        <color rgb="FFFFEF9C"/>
      </colorScale>
    </cfRule>
  </conditionalFormatting>
  <conditionalFormatting sqref="AM130:AM139 AI130:AK132">
    <cfRule type="colorScale" priority="12">
      <colorScale>
        <cfvo type="num" val="-1"/>
        <cfvo type="num" val="1"/>
        <color theme="1" tint="0.249977111117893"/>
        <color theme="0"/>
      </colorScale>
    </cfRule>
  </conditionalFormatting>
  <conditionalFormatting sqref="AM142:AM145">
    <cfRule type="colorScale" priority="11">
      <colorScale>
        <cfvo type="num" val="-1"/>
        <cfvo type="num" val="1"/>
        <color rgb="FFFF7128"/>
        <color rgb="FFFFEF9C"/>
      </colorScale>
    </cfRule>
  </conditionalFormatting>
  <conditionalFormatting sqref="AO27:AO30">
    <cfRule type="dataBar" priority="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{9D87B054-BD19-304D-AEEF-1FA94717585F}</x14:id>
        </ext>
      </extLst>
    </cfRule>
  </conditionalFormatting>
  <conditionalFormatting sqref="AO55:AO58">
    <cfRule type="dataBar" priority="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{7ED058D3-969B-BA44-8CBF-490C9AB3E8BB}</x14:id>
        </ext>
      </extLst>
    </cfRule>
  </conditionalFormatting>
  <conditionalFormatting sqref="AO83:AO86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{0AEB6BD0-3A49-7045-803F-2DE3C098ECBD}</x14:id>
        </ext>
      </extLst>
    </cfRule>
  </conditionalFormatting>
  <conditionalFormatting sqref="AO113:AO116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{A6F2ACFF-1509-4548-AFBB-B0D609EF0B77}</x14:id>
        </ext>
      </extLst>
    </cfRule>
  </conditionalFormatting>
  <conditionalFormatting sqref="AO142:AO145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{619B2AFD-4C83-E74A-89C5-13E294DA14DB}</x14:id>
        </ext>
      </extLst>
    </cfRule>
  </conditionalFormatting>
  <conditionalFormatting sqref="AP27:AP30">
    <cfRule type="dataBar" priority="4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{18051AEF-4938-C94E-BB6E-73FFC0B69B64}</x14:id>
        </ext>
      </extLst>
    </cfRule>
  </conditionalFormatting>
  <conditionalFormatting sqref="AP55:AP58">
    <cfRule type="dataBar" priority="4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{42D82AFD-E8F0-8F45-8D52-B75ECAC38AA6}</x14:id>
        </ext>
      </extLst>
    </cfRule>
  </conditionalFormatting>
  <conditionalFormatting sqref="AP83:AP86">
    <cfRule type="dataBar" priority="4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{3593169F-9F17-D34F-93F3-CA5B90C1C8B2}</x14:id>
        </ext>
      </extLst>
    </cfRule>
  </conditionalFormatting>
  <conditionalFormatting sqref="AP113:AP116">
    <cfRule type="dataBar" priority="4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{9DA32AC0-AEB0-7D47-AEF1-40C38607C9C4}</x14:id>
        </ext>
      </extLst>
    </cfRule>
  </conditionalFormatting>
  <conditionalFormatting sqref="AP142:AP145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{AD8E1253-44C2-8444-8DDE-9216779BFEB5}</x14:id>
        </ext>
      </extLst>
    </cfRule>
  </conditionalFormatting>
  <conditionalFormatting sqref="AS27:AS30">
    <cfRule type="colorScale" priority="5">
      <colorScale>
        <cfvo type="num" val="-1"/>
        <cfvo type="num" val="1"/>
        <color rgb="FFFF7128"/>
        <color rgb="FFFFEF9C"/>
      </colorScale>
    </cfRule>
  </conditionalFormatting>
  <conditionalFormatting sqref="AS55:AS58">
    <cfRule type="colorScale" priority="4">
      <colorScale>
        <cfvo type="num" val="-1"/>
        <cfvo type="num" val="1"/>
        <color rgb="FFFF7128"/>
        <color rgb="FFFFEF9C"/>
      </colorScale>
    </cfRule>
  </conditionalFormatting>
  <conditionalFormatting sqref="AS83:AS86">
    <cfRule type="colorScale" priority="3">
      <colorScale>
        <cfvo type="num" val="-1"/>
        <cfvo type="num" val="1"/>
        <color rgb="FFFF7128"/>
        <color rgb="FFFFEF9C"/>
      </colorScale>
    </cfRule>
  </conditionalFormatting>
  <conditionalFormatting sqref="AS113:AS116">
    <cfRule type="colorScale" priority="2">
      <colorScale>
        <cfvo type="num" val="-1"/>
        <cfvo type="num" val="1"/>
        <color rgb="FFFF7128"/>
        <color rgb="FFFFEF9C"/>
      </colorScale>
    </cfRule>
  </conditionalFormatting>
  <conditionalFormatting sqref="AU24:BD24 AI15:AK17 AM15:AM24">
    <cfRule type="colorScale" priority="57">
      <colorScale>
        <cfvo type="num" val="-1"/>
        <cfvo type="num" val="1"/>
        <color theme="1" tint="0.249977111117893"/>
        <color theme="0"/>
      </colorScale>
    </cfRule>
  </conditionalFormatting>
  <conditionalFormatting sqref="AU83:BD86 AU113:BD116 AU55:BD58 AU27:BD30">
    <cfRule type="colorScale" priority="120">
      <colorScale>
        <cfvo type="num" val="0"/>
        <cfvo type="percentile" val="50"/>
        <cfvo type="max"/>
        <color theme="3" tint="0.89999084444715716"/>
        <color theme="3" tint="0.749992370372631"/>
        <color theme="3" tint="0.499984740745262"/>
      </colorScale>
    </cfRule>
  </conditionalFormatting>
  <conditionalFormatting sqref="BE106:BE111 BE84:BE88 BE28:BE29">
    <cfRule type="colorScale" priority="117">
      <colorScale>
        <cfvo type="min"/>
        <cfvo type="max"/>
        <color rgb="FFFCFCFF"/>
        <color rgb="FFF8696B"/>
      </colorScale>
    </cfRule>
  </conditionalFormatting>
  <dataValidations disablePrompts="1" count="2">
    <dataValidation type="list" allowBlank="1" showInputMessage="1" showErrorMessage="1" sqref="E10 E38 E66 E94 E123" xr:uid="{1E285183-60BB-9140-A195-11B89FEDBA14}">
      <formula1>Classes</formula1>
    </dataValidation>
    <dataValidation type="list" allowBlank="1" showInputMessage="1" showErrorMessage="1" sqref="E11 E39 E67 E95 E124" xr:uid="{08A5DDAD-B12E-9046-AEA0-0BDEB51161CD}">
      <formula1>Samples</formula1>
    </dataValidation>
  </dataValidations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5CEEFD3-9E1D-9541-9C3E-9947AE67473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E14:E17</xm:sqref>
        </x14:conditionalFormatting>
        <x14:conditionalFormatting xmlns:xm="http://schemas.microsoft.com/office/excel/2006/main">
          <x14:cfRule type="dataBar" id="{F9084925-FCFF-6A4C-AAC7-D2696D5A32D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E42:E45</xm:sqref>
        </x14:conditionalFormatting>
        <x14:conditionalFormatting xmlns:xm="http://schemas.microsoft.com/office/excel/2006/main">
          <x14:cfRule type="dataBar" id="{E841BE6A-1DE0-A047-A7B0-D3033E0C5AA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E70:E73</xm:sqref>
        </x14:conditionalFormatting>
        <x14:conditionalFormatting xmlns:xm="http://schemas.microsoft.com/office/excel/2006/main">
          <x14:cfRule type="dataBar" id="{61DC42FD-FD55-F342-87B9-2CB4D4EF0D1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E98:E101</xm:sqref>
        </x14:conditionalFormatting>
        <x14:conditionalFormatting xmlns:xm="http://schemas.microsoft.com/office/excel/2006/main">
          <x14:cfRule type="dataBar" id="{0CB6D829-2F04-CB49-B0B9-A89D06EF7BD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E127:E130</xm:sqref>
        </x14:conditionalFormatting>
        <x14:conditionalFormatting xmlns:xm="http://schemas.microsoft.com/office/excel/2006/main">
          <x14:cfRule type="dataBar" id="{9D87B054-BD19-304D-AEEF-1FA94717585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AO27:AO30</xm:sqref>
        </x14:conditionalFormatting>
        <x14:conditionalFormatting xmlns:xm="http://schemas.microsoft.com/office/excel/2006/main">
          <x14:cfRule type="dataBar" id="{7ED058D3-969B-BA44-8CBF-490C9AB3E8B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AO55:AO58</xm:sqref>
        </x14:conditionalFormatting>
        <x14:conditionalFormatting xmlns:xm="http://schemas.microsoft.com/office/excel/2006/main">
          <x14:cfRule type="dataBar" id="{0AEB6BD0-3A49-7045-803F-2DE3C098ECB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AO83:AO86</xm:sqref>
        </x14:conditionalFormatting>
        <x14:conditionalFormatting xmlns:xm="http://schemas.microsoft.com/office/excel/2006/main">
          <x14:cfRule type="dataBar" id="{A6F2ACFF-1509-4548-AFBB-B0D609EF0B7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AO113:AO116</xm:sqref>
        </x14:conditionalFormatting>
        <x14:conditionalFormatting xmlns:xm="http://schemas.microsoft.com/office/excel/2006/main">
          <x14:cfRule type="dataBar" id="{619B2AFD-4C83-E74A-89C5-13E294DA14D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AO142:AO145</xm:sqref>
        </x14:conditionalFormatting>
        <x14:conditionalFormatting xmlns:xm="http://schemas.microsoft.com/office/excel/2006/main">
          <x14:cfRule type="dataBar" id="{18051AEF-4938-C94E-BB6E-73FFC0B69B6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AP27:AP30</xm:sqref>
        </x14:conditionalFormatting>
        <x14:conditionalFormatting xmlns:xm="http://schemas.microsoft.com/office/excel/2006/main">
          <x14:cfRule type="dataBar" id="{42D82AFD-E8F0-8F45-8D52-B75ECAC38AA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AP55:AP58</xm:sqref>
        </x14:conditionalFormatting>
        <x14:conditionalFormatting xmlns:xm="http://schemas.microsoft.com/office/excel/2006/main">
          <x14:cfRule type="dataBar" id="{3593169F-9F17-D34F-93F3-CA5B90C1C8B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AP83:AP86</xm:sqref>
        </x14:conditionalFormatting>
        <x14:conditionalFormatting xmlns:xm="http://schemas.microsoft.com/office/excel/2006/main">
          <x14:cfRule type="dataBar" id="{9DA32AC0-AEB0-7D47-AEF1-40C38607C9C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AP113:AP116</xm:sqref>
        </x14:conditionalFormatting>
        <x14:conditionalFormatting xmlns:xm="http://schemas.microsoft.com/office/excel/2006/main">
          <x14:cfRule type="dataBar" id="{AD8E1253-44C2-8444-8DDE-9216779BFEB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AP142:AP145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A3E9BF-EDA9-0D4D-97CA-40A9CA9D94CC}">
  <dimension ref="A1"/>
  <sheetViews>
    <sheetView topLeftCell="E12" zoomScale="108" workbookViewId="0">
      <selection activeCell="Z53" sqref="Z53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40DB4E-6EEC-1749-99BB-50C74B3E6C60}">
  <dimension ref="A1:A4"/>
  <sheetViews>
    <sheetView workbookViewId="0">
      <selection activeCell="A5" sqref="A5"/>
    </sheetView>
  </sheetViews>
  <sheetFormatPr baseColWidth="10" defaultRowHeight="16" x14ac:dyDescent="0.2"/>
  <sheetData>
    <row r="1" spans="1:1" x14ac:dyDescent="0.2">
      <c r="A1" t="s">
        <v>110</v>
      </c>
    </row>
    <row r="2" spans="1:1" x14ac:dyDescent="0.2">
      <c r="A2" t="s">
        <v>111</v>
      </c>
    </row>
    <row r="3" spans="1:1" x14ac:dyDescent="0.2">
      <c r="A3" t="s">
        <v>112</v>
      </c>
    </row>
    <row r="4" spans="1:1" x14ac:dyDescent="0.2">
      <c r="A4" t="s">
        <v>113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3ded8b1b-070d-4629-82e4-c0b019f46057}" enabled="0" method="" siteId="{3ded8b1b-070d-4629-82e4-c0b019f46057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6</vt:i4>
      </vt:variant>
    </vt:vector>
  </HeadingPairs>
  <TitlesOfParts>
    <vt:vector size="14" baseType="lpstr">
      <vt:lpstr>Intro</vt:lpstr>
      <vt:lpstr>Dataset-Tumor</vt:lpstr>
      <vt:lpstr>Perceptron</vt:lpstr>
      <vt:lpstr>Mulitlayer</vt:lpstr>
      <vt:lpstr>Backprop_single_image</vt:lpstr>
      <vt:lpstr>Backprop_more_image</vt:lpstr>
      <vt:lpstr>Extra</vt:lpstr>
      <vt:lpstr>Sheet1</vt:lpstr>
      <vt:lpstr>CE_epoch1</vt:lpstr>
      <vt:lpstr>CE_epoch2</vt:lpstr>
      <vt:lpstr>CE_epoch3</vt:lpstr>
      <vt:lpstr>CE_epoch4</vt:lpstr>
      <vt:lpstr>Classes</vt:lpstr>
      <vt:lpstr>Samples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 Jubair</dc:creator>
  <cp:lastModifiedBy>Mohammad Jubair</cp:lastModifiedBy>
  <dcterms:created xsi:type="dcterms:W3CDTF">2025-10-22T09:19:14Z</dcterms:created>
  <dcterms:modified xsi:type="dcterms:W3CDTF">2025-11-27T06:51:29Z</dcterms:modified>
</cp:coreProperties>
</file>